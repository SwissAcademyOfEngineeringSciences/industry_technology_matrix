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weizerischeakademie-my.sharepoint.com/personal/tobias_schlegel_satw_ch/Documents/Dokumente/Interaktive_Grafiken/Matrix_Technologie_Industrie/"/>
    </mc:Choice>
  </mc:AlternateContent>
  <xr:revisionPtr revIDLastSave="74" documentId="8_{B7EC8838-46AC-4846-82BA-9049D66C1F46}" xr6:coauthVersionLast="47" xr6:coauthVersionMax="47" xr10:uidLastSave="{13C04045-7D68-46D3-8B9A-B7EFFCBE1002}"/>
  <bookViews>
    <workbookView xWindow="19110" yWindow="0" windowWidth="19380" windowHeight="20970" xr2:uid="{00000000-000D-0000-FFFF-FFFF00000000}"/>
  </bookViews>
  <sheets>
    <sheet name="Werte" sheetId="1" r:id="rId1"/>
    <sheet name="h-index-alt" sheetId="2" state="hidden" r:id="rId2"/>
    <sheet name="überblick-alt" sheetId="3" state="hidden" r:id="rId3"/>
  </sheets>
  <definedNames>
    <definedName name="_xlnm._FilterDatabase" localSheetId="0" hidden="1">Werte!$A$3:$A$35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4" i="1"/>
  <c r="M49" i="1"/>
  <c r="C46" i="1"/>
  <c r="D46" i="1"/>
  <c r="E46" i="1"/>
  <c r="F46" i="1"/>
  <c r="G46" i="1"/>
  <c r="H46" i="1"/>
  <c r="I46" i="1"/>
  <c r="J46" i="1"/>
  <c r="K46" i="1"/>
  <c r="L46" i="1"/>
  <c r="M46" i="1"/>
  <c r="C49" i="1"/>
  <c r="D49" i="1"/>
  <c r="E49" i="1"/>
  <c r="F49" i="1"/>
  <c r="G49" i="1"/>
  <c r="H49" i="1"/>
  <c r="I49" i="1"/>
  <c r="J49" i="1"/>
  <c r="K49" i="1"/>
  <c r="L49" i="1"/>
  <c r="C47" i="1"/>
  <c r="D47" i="1"/>
  <c r="E47" i="1"/>
  <c r="F47" i="1"/>
  <c r="G47" i="1"/>
  <c r="H47" i="1"/>
  <c r="I47" i="1"/>
  <c r="J47" i="1"/>
  <c r="K47" i="1"/>
  <c r="L47" i="1"/>
  <c r="M47" i="1"/>
  <c r="C48" i="1"/>
  <c r="D48" i="1"/>
  <c r="E48" i="1"/>
  <c r="F48" i="1"/>
  <c r="G48" i="1"/>
  <c r="H48" i="1"/>
  <c r="I48" i="1"/>
  <c r="J48" i="1"/>
  <c r="K48" i="1"/>
  <c r="L48" i="1"/>
  <c r="M48" i="1"/>
  <c r="D45" i="1"/>
  <c r="E45" i="1"/>
  <c r="F45" i="1"/>
  <c r="G45" i="1"/>
  <c r="H45" i="1"/>
  <c r="I45" i="1"/>
  <c r="J45" i="1"/>
  <c r="K45" i="1"/>
  <c r="L45" i="1"/>
  <c r="M45" i="1"/>
  <c r="C45" i="1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I3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" i="3"/>
  <c r="H49" i="3" l="1"/>
  <c r="I49" i="3"/>
  <c r="G49" i="3"/>
  <c r="D49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3" i="3"/>
  <c r="E43" i="3"/>
  <c r="F43" i="3"/>
  <c r="E44" i="3"/>
  <c r="F44" i="3"/>
  <c r="E30" i="3"/>
  <c r="F30" i="3"/>
  <c r="E31" i="3"/>
  <c r="F31" i="3"/>
  <c r="E27" i="3"/>
  <c r="F27" i="3"/>
  <c r="E25" i="3"/>
  <c r="F25" i="3"/>
  <c r="E21" i="3"/>
  <c r="F21" i="3"/>
  <c r="E22" i="3"/>
  <c r="F22" i="3"/>
  <c r="E23" i="3"/>
  <c r="F23" i="3"/>
  <c r="E16" i="3"/>
  <c r="F16" i="3"/>
  <c r="E17" i="3"/>
  <c r="F17" i="3"/>
  <c r="E18" i="3"/>
  <c r="F18" i="3"/>
  <c r="E19" i="3"/>
  <c r="F19" i="3"/>
  <c r="E10" i="3"/>
  <c r="F10" i="3"/>
  <c r="E11" i="3"/>
  <c r="F11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" i="3"/>
  <c r="J3" i="3"/>
  <c r="E4" i="3"/>
  <c r="F4" i="3"/>
  <c r="E5" i="3"/>
  <c r="F5" i="3"/>
  <c r="E6" i="3"/>
  <c r="F6" i="3"/>
  <c r="E7" i="3"/>
  <c r="F7" i="3"/>
  <c r="E8" i="3"/>
  <c r="F8" i="3"/>
  <c r="E9" i="3"/>
  <c r="F9" i="3"/>
  <c r="E12" i="3"/>
  <c r="F12" i="3"/>
  <c r="E13" i="3"/>
  <c r="F13" i="3"/>
  <c r="E14" i="3"/>
  <c r="F14" i="3"/>
  <c r="E15" i="3"/>
  <c r="F15" i="3"/>
  <c r="E20" i="3"/>
  <c r="F20" i="3"/>
  <c r="E24" i="3"/>
  <c r="F24" i="3"/>
  <c r="E26" i="3"/>
  <c r="F26" i="3"/>
  <c r="E28" i="3"/>
  <c r="F28" i="3"/>
  <c r="E29" i="3"/>
  <c r="F29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5" i="3"/>
  <c r="F45" i="3"/>
  <c r="E46" i="3"/>
  <c r="F46" i="3"/>
  <c r="E47" i="3"/>
  <c r="F47" i="3"/>
  <c r="E3" i="3"/>
  <c r="F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3" i="3"/>
  <c r="F466" i="2"/>
  <c r="G466" i="2"/>
  <c r="H466" i="2"/>
  <c r="E466" i="2"/>
  <c r="F465" i="2"/>
  <c r="G465" i="2"/>
  <c r="H465" i="2"/>
  <c r="E465" i="2"/>
  <c r="J49" i="3" l="1"/>
  <c r="K49" i="3"/>
  <c r="E49" i="3"/>
  <c r="F49" i="3"/>
  <c r="L49" i="3"/>
</calcChain>
</file>

<file path=xl/sharedStrings.xml><?xml version="1.0" encoding="utf-8"?>
<sst xmlns="http://schemas.openxmlformats.org/spreadsheetml/2006/main" count="2359" uniqueCount="689">
  <si>
    <t>Technology Outlook 2025: Matrix Technologien versus produzierende Industrie</t>
  </si>
  <si>
    <t>Chemie</t>
  </si>
  <si>
    <t>Pharma</t>
  </si>
  <si>
    <t>Elektronik/
Instrumente</t>
  </si>
  <si>
    <t>Elektrotechnik</t>
  </si>
  <si>
    <t>Fahrzeug- /
Maschinenbau</t>
  </si>
  <si>
    <t>Druck/Holz/
Papier</t>
  </si>
  <si>
    <t>Energie/Wasser/
Umwelt</t>
  </si>
  <si>
    <t>Kunststoffe</t>
  </si>
  <si>
    <t>Metallverarbeitung</t>
  </si>
  <si>
    <t>Nahrungsmittel</t>
  </si>
  <si>
    <t>sonstige Industrie</t>
  </si>
  <si>
    <t>Industrie 5.0</t>
  </si>
  <si>
    <t>X</t>
  </si>
  <si>
    <t>x</t>
  </si>
  <si>
    <t>IoT</t>
  </si>
  <si>
    <t>PICs</t>
  </si>
  <si>
    <t>Quantencomputing</t>
  </si>
  <si>
    <t>Ultrazuverlässige Echtzeitkommunikation</t>
  </si>
  <si>
    <t>künstliche Photosynthese</t>
  </si>
  <si>
    <t>Kunststoffrecycling</t>
  </si>
  <si>
    <t>Mobilitätskonzepte</t>
  </si>
  <si>
    <t>Negativemissionstechnologien</t>
  </si>
  <si>
    <t>Phosphorrecycling</t>
  </si>
  <si>
    <t>Synfuels (Präzisionskatalyse)</t>
  </si>
  <si>
    <t>Tiefengeothermie</t>
  </si>
  <si>
    <t>Wasserstoff</t>
  </si>
  <si>
    <t>Erdbeobachtung</t>
  </si>
  <si>
    <t>2D-Materialien</t>
  </si>
  <si>
    <t>Bioplastik aus Abfall</t>
  </si>
  <si>
    <t>CO2-armer Beton</t>
  </si>
  <si>
    <r>
      <t>CO</t>
    </r>
    <r>
      <rPr>
        <vertAlign val="subscript"/>
        <sz val="11"/>
        <color theme="1"/>
        <rFont val="Calibri Light"/>
        <family val="2"/>
        <scheme val="major"/>
      </rPr>
      <t>2</t>
    </r>
    <r>
      <rPr>
        <sz val="11"/>
        <color theme="1"/>
        <rFont val="Calibri Light"/>
        <family val="2"/>
        <scheme val="major"/>
      </rPr>
      <t>-basierte Kunststoffe</t>
    </r>
  </si>
  <si>
    <t>Faseroptische Sensoren</t>
  </si>
  <si>
    <t>flexible Batterien</t>
  </si>
  <si>
    <t>nachhaltige Kleb- und Dichtstoffe</t>
  </si>
  <si>
    <t>Perovskite</t>
  </si>
  <si>
    <t>Plasmatechnologien</t>
  </si>
  <si>
    <t>Photonik auf Diamantbasis</t>
  </si>
  <si>
    <t>TIMs</t>
  </si>
  <si>
    <t>Bakteriophagen</t>
  </si>
  <si>
    <t>Bioinspiration</t>
  </si>
  <si>
    <t>Biokatalyse</t>
  </si>
  <si>
    <t>Human Augmentation</t>
  </si>
  <si>
    <t>mRNA</t>
  </si>
  <si>
    <t>personalisierte Ernährung</t>
  </si>
  <si>
    <t>synthetische Biologie</t>
  </si>
  <si>
    <t>Research-Gate</t>
  </si>
  <si>
    <t>Google Scholar</t>
  </si>
  <si>
    <t>TO-Begriff</t>
  </si>
  <si>
    <t>Institution</t>
  </si>
  <si>
    <t>Forschungsgruppe/Forschungsgruppenleiter</t>
  </si>
  <si>
    <t>Person/Gruppenleiter</t>
  </si>
  <si>
    <t>incl. Self-citations</t>
  </si>
  <si>
    <t>excl. Self-citations</t>
  </si>
  <si>
    <t>Alle</t>
  </si>
  <si>
    <t>Seit2015</t>
  </si>
  <si>
    <t>3D-Biodruck</t>
  </si>
  <si>
    <t>ETH</t>
  </si>
  <si>
    <t xml:space="preserve">D-HEST, Tissue Engineering and Biofabrication; </t>
  </si>
  <si>
    <t>Marcy Zenobi-Wong</t>
  </si>
  <si>
    <t>ZHAW</t>
  </si>
  <si>
    <t>ICBT, 3D Tissues and Biofabrication</t>
  </si>
  <si>
    <t>Markus Rimann</t>
  </si>
  <si>
    <t>nv</t>
  </si>
  <si>
    <t>Adolph Merkle Institute</t>
  </si>
  <si>
    <t>BioNanomaterials</t>
  </si>
  <si>
    <t>Barbara Rothen-Rutishauser</t>
  </si>
  <si>
    <t>ZHAW, ICBT, Metabolic Tissue Engineering</t>
  </si>
  <si>
    <t>Michael Raghunath</t>
  </si>
  <si>
    <t>5G</t>
  </si>
  <si>
    <t>David Basin</t>
  </si>
  <si>
    <t>Jürg Leuthold</t>
  </si>
  <si>
    <t>Armin Wittneben</t>
  </si>
  <si>
    <t>Friedemann Mattern</t>
  </si>
  <si>
    <t>Bastian Bergmann</t>
  </si>
  <si>
    <t>EPFL</t>
  </si>
  <si>
    <t>Jean-Pierre Hubaux</t>
  </si>
  <si>
    <t>Anja Skrivervik</t>
  </si>
  <si>
    <t>Andreas Burg</t>
  </si>
  <si>
    <t>Alcherio Martinoli</t>
  </si>
  <si>
    <t>Additive Fertigung</t>
  </si>
  <si>
    <t>Inspire</t>
  </si>
  <si>
    <t>Spierings/Schmid</t>
  </si>
  <si>
    <t>Konrad Wegener</t>
  </si>
  <si>
    <t>Mirko Meboldt</t>
  </si>
  <si>
    <t>Engineering Design and Computing</t>
  </si>
  <si>
    <t>Kristina Shea</t>
  </si>
  <si>
    <t>Roland Logé</t>
  </si>
  <si>
    <t>FHNW</t>
  </si>
  <si>
    <t>Erik Schkommodau</t>
  </si>
  <si>
    <t>Daniel Seiler</t>
  </si>
  <si>
    <t>SUPSI</t>
  </si>
  <si>
    <t>Anna Valente</t>
  </si>
  <si>
    <t>EMPA</t>
  </si>
  <si>
    <t>Kilian Wasmer</t>
  </si>
  <si>
    <t>Heia-Fr</t>
  </si>
  <si>
    <t>Fritz Bircher</t>
  </si>
  <si>
    <t>Andere Personen da</t>
  </si>
  <si>
    <t>Andreas Kirchheim</t>
  </si>
  <si>
    <t>HEFR</t>
  </si>
  <si>
    <t>HSR</t>
  </si>
  <si>
    <t>HSLU</t>
  </si>
  <si>
    <t>BFH</t>
  </si>
  <si>
    <t>CSEM</t>
  </si>
  <si>
    <t>FHO</t>
  </si>
  <si>
    <t>Mohammad Rabiey</t>
  </si>
  <si>
    <t>Frank Ehrig</t>
  </si>
  <si>
    <t>Alternative Antriebssysteme - technisch</t>
  </si>
  <si>
    <t>Laboratorium für Aerothermochemie und Verbrennungssysteme</t>
  </si>
  <si>
    <t>Konstantinos Boulouchos</t>
  </si>
  <si>
    <t xml:space="preserve">Insitut für Dynamische Systeme und Regelungstechnik </t>
  </si>
  <si>
    <t>Onder</t>
  </si>
  <si>
    <t>PSI</t>
  </si>
  <si>
    <t>Labor für Elektrochemie</t>
  </si>
  <si>
    <t>Büchi</t>
  </si>
  <si>
    <t>Institute of Computational Physics</t>
  </si>
  <si>
    <t>Schumacher</t>
  </si>
  <si>
    <t xml:space="preserve">Zentrums für Energiespeicherung </t>
  </si>
  <si>
    <t>Vezzini</t>
  </si>
  <si>
    <t>Thermoengineering</t>
  </si>
  <si>
    <t>Hermann</t>
  </si>
  <si>
    <t xml:space="preserve">Fahrzeugantriebssysteme </t>
  </si>
  <si>
    <t>Christian Bach</t>
  </si>
  <si>
    <t>Alternative Antriebssysteme - nicht technisch</t>
  </si>
  <si>
    <t>Energy Economy</t>
  </si>
  <si>
    <t>Kober</t>
  </si>
  <si>
    <t>Technology Assessments</t>
  </si>
  <si>
    <t>Bauer</t>
  </si>
  <si>
    <t>ETHZ</t>
  </si>
  <si>
    <t>International Political Economy and Environmental Politics</t>
  </si>
  <si>
    <t>Bernauer</t>
  </si>
  <si>
    <t>Alternative Antriebssysteme</t>
  </si>
  <si>
    <t>Bioenergy and Catalysis Laboratory</t>
  </si>
  <si>
    <t>Schildhauer</t>
  </si>
  <si>
    <t>Thermo- und Fluiddynamik</t>
  </si>
  <si>
    <t>Markus Friedl</t>
  </si>
  <si>
    <t>Advanced Analytical Technologies</t>
  </si>
  <si>
    <t>Borgschulte</t>
  </si>
  <si>
    <t>Alternative Proteinquellen</t>
  </si>
  <si>
    <t>Nina Buchmann</t>
  </si>
  <si>
    <t>Emmanuel Frossard</t>
  </si>
  <si>
    <t>Michael Siegrist</t>
  </si>
  <si>
    <t>Alexander Mathys</t>
  </si>
  <si>
    <t>Erich Windhab</t>
  </si>
  <si>
    <t>Stefanie Hellweg</t>
  </si>
  <si>
    <t>Isabel Gunther</t>
  </si>
  <si>
    <t>Robert Finger</t>
  </si>
  <si>
    <t>Agroscope</t>
  </si>
  <si>
    <t>Christoph Carlen</t>
  </si>
  <si>
    <t>Bernard Jeangros</t>
  </si>
  <si>
    <t>Corinne Jud</t>
  </si>
  <si>
    <t>Robert Baur</t>
  </si>
  <si>
    <t>Felix Herzog</t>
  </si>
  <si>
    <t>FiBL</t>
  </si>
  <si>
    <t>Lucius Tamm</t>
  </si>
  <si>
    <t>Florian Leiber</t>
  </si>
  <si>
    <t>Timo Stadtlander</t>
  </si>
  <si>
    <t>HAFL</t>
  </si>
  <si>
    <t>Elisabeth Eugster</t>
  </si>
  <si>
    <t>Jan Grenz</t>
  </si>
  <si>
    <t>Andreas Keiser</t>
  </si>
  <si>
    <t>Analyse von Big Data</t>
  </si>
  <si>
    <t>Antimikrobielle Polymere</t>
  </si>
  <si>
    <t>Universität Fribourg</t>
  </si>
  <si>
    <t>Augmented Reality</t>
  </si>
  <si>
    <t>Daniel Schmid</t>
  </si>
  <si>
    <t>ICVR</t>
  </si>
  <si>
    <t>Andreas Kunz</t>
  </si>
  <si>
    <t>PDZ</t>
  </si>
  <si>
    <t>NTB</t>
  </si>
  <si>
    <t>Carlo Bach</t>
  </si>
  <si>
    <t>FHSG</t>
  </si>
  <si>
    <t>Ramon Hofer</t>
  </si>
  <si>
    <t>Biokatalyse und Biosynthese</t>
  </si>
  <si>
    <t>Competence Center for Biocatalysis (CCBIO)</t>
  </si>
  <si>
    <t>Rebecca Buller</t>
  </si>
  <si>
    <t>Protein Laboratory</t>
  </si>
  <si>
    <t>Donald Hilvert</t>
  </si>
  <si>
    <t>Uni Basel</t>
  </si>
  <si>
    <t>Artificial Metalloenzyme Laboratory</t>
  </si>
  <si>
    <t>Tom Ward</t>
  </si>
  <si>
    <t>Florian Seebeck</t>
  </si>
  <si>
    <t>Uni Bern</t>
  </si>
  <si>
    <t>Francesca Paradisi</t>
  </si>
  <si>
    <t>ETH Zürich</t>
  </si>
  <si>
    <t>BioprocessLaboratory</t>
  </si>
  <si>
    <t>Sven Panke</t>
  </si>
  <si>
    <t>Patrick Shahgaldian</t>
  </si>
  <si>
    <t>Philippe Corvini</t>
  </si>
  <si>
    <t>HES-SO Wallis</t>
  </si>
  <si>
    <t>Manfred Zinn</t>
  </si>
  <si>
    <t>Simon Crelier</t>
  </si>
  <si>
    <t>Fabian Fischer</t>
  </si>
  <si>
    <t>Bioplastik</t>
  </si>
  <si>
    <t>Roger Marti</t>
  </si>
  <si>
    <t>Giuseppe Perale</t>
  </si>
  <si>
    <t>AMI Fribourg</t>
  </si>
  <si>
    <t>Chris Weder</t>
  </si>
  <si>
    <t>PICC Fribourg</t>
  </si>
  <si>
    <t>Rudy Koopmans</t>
  </si>
  <si>
    <t>Blockchain</t>
  </si>
  <si>
    <t>Center for Digital Trust</t>
  </si>
  <si>
    <t>Zurich Information Security &amp; Privacy Center</t>
  </si>
  <si>
    <t>Srdjan Capkun</t>
  </si>
  <si>
    <t>Kenneth Paterson</t>
  </si>
  <si>
    <t>Adrian Perrig</t>
  </si>
  <si>
    <t>ETH Blockchain Initiative</t>
  </si>
  <si>
    <t>Stefano Brusoni</t>
  </si>
  <si>
    <t>Hans Gersbach</t>
  </si>
  <si>
    <t>Ueli Maurer</t>
  </si>
  <si>
    <t>Peter Müller</t>
  </si>
  <si>
    <t>Lothar Thiele</t>
  </si>
  <si>
    <t>Martin Vechev</t>
  </si>
  <si>
    <t>Laurent Vanbever</t>
  </si>
  <si>
    <t>Roger Wattenhofer</t>
  </si>
  <si>
    <t>Blockchain Competence Center</t>
  </si>
  <si>
    <t>Petra Maria Asprion</t>
  </si>
  <si>
    <t>Walter Dettling</t>
  </si>
  <si>
    <t>Blockchain Lab</t>
  </si>
  <si>
    <t>Alexander Denzler</t>
  </si>
  <si>
    <t>Tim Weingärtner</t>
  </si>
  <si>
    <t>Georges Grivas</t>
  </si>
  <si>
    <t>Forum Blockchain for Business</t>
  </si>
  <si>
    <t>na</t>
  </si>
  <si>
    <t>UZH</t>
  </si>
  <si>
    <t>Blockchain Center</t>
  </si>
  <si>
    <t>Abraham Bernstein</t>
  </si>
  <si>
    <t>Nadja Braun Binder</t>
  </si>
  <si>
    <t>Helmut Dietl</t>
  </si>
  <si>
    <t>Christian Ewerhart</t>
  </si>
  <si>
    <t>Erich Walter Farkas</t>
  </si>
  <si>
    <t>Thorsten Hens</t>
  </si>
  <si>
    <t>Lorenz M. Hilty</t>
  </si>
  <si>
    <t>Christine Kaufmann</t>
  </si>
  <si>
    <t>David Oesch</t>
  </si>
  <si>
    <t>Peter Picht</t>
  </si>
  <si>
    <t>Karl Schmedders</t>
  </si>
  <si>
    <t>Christian Schwarzenegger</t>
  </si>
  <si>
    <t>Gerhard Schwabe</t>
  </si>
  <si>
    <t>Sven Seuken</t>
  </si>
  <si>
    <t>Burkhard Stiller</t>
  </si>
  <si>
    <t>Claudio J. Tessone</t>
  </si>
  <si>
    <t>Florent Thouvenin</t>
  </si>
  <si>
    <t>Rolf H. Weber</t>
  </si>
  <si>
    <t>Swiss FinTech Innovation Lab</t>
  </si>
  <si>
    <t>Thomas Puschmann</t>
  </si>
  <si>
    <t>Joachim Masur</t>
  </si>
  <si>
    <t>Rolf Weber</t>
  </si>
  <si>
    <t>Stefan Zeisberger</t>
  </si>
  <si>
    <t>Daniel Fasnacht</t>
  </si>
  <si>
    <t>Center for Innovative Finance</t>
  </si>
  <si>
    <t>Fabian Schär</t>
  </si>
  <si>
    <t>Aleksander Berentsen</t>
  </si>
  <si>
    <t>Pascal Gantenbein</t>
  </si>
  <si>
    <t>Heinz Zimmermann</t>
  </si>
  <si>
    <t>Yvan Lengwiler</t>
  </si>
  <si>
    <t>Dietmar Maringer</t>
  </si>
  <si>
    <t>Connected Machines</t>
  </si>
  <si>
    <t>FHGR</t>
  </si>
  <si>
    <t>HES-SO</t>
  </si>
  <si>
    <t>Institut Icare</t>
  </si>
  <si>
    <t>Rhysearch</t>
  </si>
  <si>
    <t>SIPBB</t>
  </si>
  <si>
    <t>Datensouveränität</t>
  </si>
  <si>
    <t>Dezentrale Energiesysteme</t>
  </si>
  <si>
    <t>Urban Energysystems, Empa</t>
  </si>
  <si>
    <t>SuSTec ETH Zürich</t>
  </si>
  <si>
    <t>A/S Architecture and Systems, ETH Zürich</t>
  </si>
  <si>
    <t>Automatic Control Laboratory, ETH Zürich</t>
  </si>
  <si>
    <t>Power systems Laboratory, ETH Zürich</t>
  </si>
  <si>
    <t>ZIG Hochschule Luzern</t>
  </si>
  <si>
    <t>Uni Genf</t>
  </si>
  <si>
    <t>Energy efficiency, University Geneva</t>
  </si>
  <si>
    <t>Energy systems, PSI</t>
  </si>
  <si>
    <t>LESO, EPFL</t>
  </si>
  <si>
    <t>Digitaler Zwilling</t>
  </si>
  <si>
    <t>Drohnen</t>
  </si>
  <si>
    <t>Roland Siegwart</t>
  </si>
  <si>
    <t>Raff D’Andrea</t>
  </si>
  <si>
    <t>Marc Pollefeys</t>
  </si>
  <si>
    <t>Davide Scaramuzza</t>
  </si>
  <si>
    <t>Dario Floreano</t>
  </si>
  <si>
    <t>Funktionale Fasern</t>
  </si>
  <si>
    <t>Swiss Textile College</t>
  </si>
  <si>
    <t>SwissTexnet</t>
  </si>
  <si>
    <t>Geothermie</t>
  </si>
  <si>
    <t>SCCER SoE ETHZ, EPFL Universitäten Genf, Lausanne, Neuchatel, Bern etc. Fachhochschule Rapperswil ZHAW</t>
  </si>
  <si>
    <t>Hochautomatisierte Fahrzeuge</t>
  </si>
  <si>
    <t>HEIA/</t>
  </si>
  <si>
    <t>ROSAS</t>
  </si>
  <si>
    <t>CertX</t>
  </si>
  <si>
    <t>UNI Fribourg</t>
  </si>
  <si>
    <t>DTC</t>
  </si>
  <si>
    <t>Computer Vision</t>
  </si>
  <si>
    <t>Luc Van Goool</t>
  </si>
  <si>
    <t>VITA Visual Intelligence for Transportation</t>
  </si>
  <si>
    <t>Alexandre Alahi</t>
  </si>
  <si>
    <t>Mir fehlt die EPFL, UZH, FHNW,… etc.pp.</t>
  </si>
  <si>
    <t>Elgar Fleisch</t>
  </si>
  <si>
    <t>HSG</t>
  </si>
  <si>
    <t>Thomas Friedli</t>
  </si>
  <si>
    <t>Laurent Metzger</t>
  </si>
  <si>
    <t>Institute of Embedded Systems</t>
  </si>
  <si>
    <t>Andreas Rüst</t>
  </si>
  <si>
    <t>IoT Innovation Lab</t>
  </si>
  <si>
    <t>Angela Nicoara</t>
  </si>
  <si>
    <t>IHomeLab</t>
  </si>
  <si>
    <t>Andrew Paice</t>
  </si>
  <si>
    <t>Kollaborative Robotik</t>
  </si>
  <si>
    <t>Künstliche Fotosynthese</t>
  </si>
  <si>
    <t>Prof. Michael Graetzel</t>
  </si>
  <si>
    <t>Prof. Xile Hu</t>
  </si>
  <si>
    <t>Prof. Jacques-E. Moser</t>
  </si>
  <si>
    <t>Prof. Sophia Haussener</t>
  </si>
  <si>
    <t>Prof. Raffaella Buonsanti</t>
  </si>
  <si>
    <t>Prof. Anders Hagfeldt</t>
  </si>
  <si>
    <t>Prof. Kevin Sivula</t>
  </si>
  <si>
    <t>EPFL/EMPA</t>
  </si>
  <si>
    <t>Prof. Andreas Züttel</t>
  </si>
  <si>
    <t>Prof. Oliver Kröcher</t>
  </si>
  <si>
    <t>Prof. Md. K. Nazeeruddin</t>
  </si>
  <si>
    <t>Prof. Wendy Lee Queen</t>
  </si>
  <si>
    <t>Prof. Aldo Steinfeld</t>
  </si>
  <si>
    <t>Prof. Jeroen A van Bokhoven</t>
  </si>
  <si>
    <t>Prof. Markus Niederberger</t>
  </si>
  <si>
    <t>Prof. Maria Lukatskaya</t>
  </si>
  <si>
    <t>Prof. Javier Pérez-Ramírez</t>
  </si>
  <si>
    <t>Prof. Christoph Müller</t>
  </si>
  <si>
    <t>Prof. Roger Alberto</t>
  </si>
  <si>
    <t>Prof. Greta R. Patzke</t>
  </si>
  <si>
    <t>Prof. David Tilley</t>
  </si>
  <si>
    <t>Prof. Peter Hamm</t>
  </si>
  <si>
    <t>Prof. Jürg Hutter</t>
  </si>
  <si>
    <t>Prof. Sandra Luber</t>
  </si>
  <si>
    <t>University of Basel</t>
  </si>
  <si>
    <t>Prof. Oliver Wenger</t>
  </si>
  <si>
    <t>Prof. Edwin Constable</t>
  </si>
  <si>
    <t>Prof. Catherine Housecroft</t>
  </si>
  <si>
    <t>University of Bern</t>
  </si>
  <si>
    <t>Prof. Martin Albrecht</t>
  </si>
  <si>
    <t>Prof. Matthias Arenz</t>
  </si>
  <si>
    <t>Prof. Ulrich Aschauer</t>
  </si>
  <si>
    <t>Prof. Peter Broekmann</t>
  </si>
  <si>
    <t>University of Fribourg</t>
  </si>
  <si>
    <t>Prof. Christian Bochet</t>
  </si>
  <si>
    <t>Prof. Ali Coskun</t>
  </si>
  <si>
    <t xml:space="preserve">University of Geneva     </t>
  </si>
  <si>
    <t xml:space="preserve">Prof. Thomas Bürgi </t>
  </si>
  <si>
    <t>PSI/ETH,</t>
  </si>
  <si>
    <t>Electrochemistry Laboratory (LEC)</t>
  </si>
  <si>
    <t>Prof. Thomas J. Schmidt</t>
  </si>
  <si>
    <t>Empa/ETH</t>
  </si>
  <si>
    <t>Prof. Ayodhya N. Tiwari</t>
  </si>
  <si>
    <t>Empa</t>
  </si>
  <si>
    <t>Dr. Corsin Battaglia</t>
  </si>
  <si>
    <t>PD Dr. Davide Bleiner</t>
  </si>
  <si>
    <t>Empa/UZH</t>
  </si>
  <si>
    <t>Prof. Karl-Heinz Ernst</t>
  </si>
  <si>
    <t>Lernende Systeme und neuronale Netzwerke</t>
  </si>
  <si>
    <t>USI Lugano: Jürgen Schmidhuber ETH Zurich: Thomas Hofmann, Joachim Buhmann EPFL: Pascal Fua</t>
  </si>
  <si>
    <t>Massenkultivierung von Stammzellen</t>
  </si>
  <si>
    <t>Morbidelli-Gruppe</t>
  </si>
  <si>
    <t>Massimo Morbidelli</t>
  </si>
  <si>
    <t>Universitätsspital Basel</t>
  </si>
  <si>
    <t>Martin-Gruppe</t>
  </si>
  <si>
    <t>Ivan Martin</t>
  </si>
  <si>
    <t>Lugano Cell Factory</t>
  </si>
  <si>
    <t>Sürder-Team</t>
  </si>
  <si>
    <t>Daniel Sürder</t>
  </si>
  <si>
    <t xml:space="preserve">Zentrum für Therapieentwicklung/GMP des IRM </t>
  </si>
  <si>
    <t>diverse Proffes.</t>
  </si>
  <si>
    <t>Eibl-Gruppe ZHAW</t>
  </si>
  <si>
    <t>Medizinische Wearables</t>
  </si>
  <si>
    <t>Christian Holz</t>
  </si>
  <si>
    <t>Holz</t>
  </si>
  <si>
    <t>USB</t>
  </si>
  <si>
    <t>Jens Eckstein (USB)</t>
  </si>
  <si>
    <t>Walter Karlen (ETHZ)</t>
  </si>
  <si>
    <t>Roger Gassert(EPFL) - ist ETH, nicht EPFL</t>
  </si>
  <si>
    <t>David Atienza (EPFL)</t>
  </si>
  <si>
    <t>Herbert Shea (EPFL),</t>
  </si>
  <si>
    <t>Kamiar Aminian (EPFL),</t>
  </si>
  <si>
    <t>Institute for Medical Informatics I4MI (BFH)</t>
  </si>
  <si>
    <t>Serge Bignens</t>
  </si>
  <si>
    <t>Jens Krauss (CSEM)</t>
  </si>
  <si>
    <t>Stéfanie Lacour (EPFL)</t>
  </si>
  <si>
    <t>Ernst Hafen (ETHZ)</t>
  </si>
  <si>
    <t>Medizinroboter</t>
  </si>
  <si>
    <t>Mikrobiota und Mikrobiome</t>
  </si>
  <si>
    <t>Mobile Roboter</t>
  </si>
  <si>
    <t>Laboratory of Intelligent Systems</t>
  </si>
  <si>
    <t>Autonomous Systems Lab (ASL)</t>
  </si>
  <si>
    <t>Siegwart</t>
  </si>
  <si>
    <t>Robotics and Perception Group (RPG)</t>
  </si>
  <si>
    <t>Reza Abhari</t>
  </si>
  <si>
    <t>Kay Axhausen</t>
  </si>
  <si>
    <t>Stefan Bechtold</t>
  </si>
  <si>
    <t>Thomas Bernauer</t>
  </si>
  <si>
    <t>Alfredo Brillembourg</t>
  </si>
  <si>
    <t>Paolo Burlando</t>
  </si>
  <si>
    <t>Lars-Erik Cederman</t>
  </si>
  <si>
    <t>Adrienne Grêt-Regamey</t>
  </si>
  <si>
    <t>Isabel Günthe</t>
  </si>
  <si>
    <t>Dirk Helbing</t>
  </si>
  <si>
    <t>Janet Hering</t>
  </si>
  <si>
    <t>Thomas Hofmann</t>
  </si>
  <si>
    <t>Hubert Klumpner</t>
  </si>
  <si>
    <t>Reto Knutti</t>
  </si>
  <si>
    <t>Anthony Patt</t>
  </si>
  <si>
    <t>Timothy Roscoe</t>
  </si>
  <si>
    <t>Frank Schimmelfennig</t>
  </si>
  <si>
    <t>Gerhard Schmitt</t>
  </si>
  <si>
    <t>Bernhard Wehrli</t>
  </si>
  <si>
    <t>Andreas Wenger</t>
  </si>
  <si>
    <t>Christian Laesser</t>
  </si>
  <si>
    <t>Stephan Reinhold</t>
  </si>
  <si>
    <t>Daniel Bazzi</t>
  </si>
  <si>
    <t>Thomas Sauter</t>
  </si>
  <si>
    <t>Martin Moser</t>
  </si>
  <si>
    <t>Widar von Arx</t>
  </si>
  <si>
    <t>Nachhaltige Lebensmittelproduktion</t>
  </si>
  <si>
    <t>Food Process Engineering</t>
  </si>
  <si>
    <t>Sustainable Food Processing</t>
  </si>
  <si>
    <t>Food Biotechnology</t>
  </si>
  <si>
    <t>Christophe Lacroix</t>
  </si>
  <si>
    <t>Human Nutrition</t>
  </si>
  <si>
    <t>Michael Bruce Zimmermann</t>
  </si>
  <si>
    <t>Crop Science</t>
  </si>
  <si>
    <t>Achim Walter</t>
  </si>
  <si>
    <t>Plant and Ecosystem Ecophysiology, Biogeochemistry</t>
  </si>
  <si>
    <t>Sustainable Agroecosystems</t>
  </si>
  <si>
    <t>Johan Six</t>
  </si>
  <si>
    <t>Ecological Systems Design</t>
  </si>
  <si>
    <t>Integrative Food and Nutrition Center</t>
  </si>
  <si>
    <t>Francesco Stellacci</t>
  </si>
  <si>
    <t>Simulating Biological Systems Group</t>
  </si>
  <si>
    <t>Thijs Defraeye</t>
  </si>
  <si>
    <t>EAWAG</t>
  </si>
  <si>
    <t>Water, Environment and Food Security Group</t>
  </si>
  <si>
    <t>Hong Yang</t>
  </si>
  <si>
    <t>Institut für Lebensmittel- und Getränkeinnovation</t>
  </si>
  <si>
    <t>Michael Kleinert</t>
  </si>
  <si>
    <t>Selçuk Yildirim</t>
  </si>
  <si>
    <t>Nadina Müller</t>
  </si>
  <si>
    <t>BFL</t>
  </si>
  <si>
    <t>Forschungsbereich Lebensmittel und Konsum</t>
  </si>
  <si>
    <t>Christoph Denkel</t>
  </si>
  <si>
    <t>Institut für Life Technologies</t>
  </si>
  <si>
    <t>Wilfried Andlauer</t>
  </si>
  <si>
    <t>Michael Beyrer</t>
  </si>
  <si>
    <t>Neuartige Internetinfrastruktur SCION</t>
  </si>
  <si>
    <t>Network Security Group ETH Zürich</t>
  </si>
  <si>
    <t>Information Security Group ETH Zürich</t>
  </si>
  <si>
    <t>Programming Methodology Group ETH Zürich</t>
  </si>
  <si>
    <t xml:space="preserve">Peter Müller </t>
  </si>
  <si>
    <t>Optical Space Communication</t>
  </si>
  <si>
    <t>Optische Bodenterminals, KTI Project mit TAS-CH</t>
  </si>
  <si>
    <t>Hans Wernher van de Venn</t>
  </si>
  <si>
    <t>Lasercom von CubeSats</t>
  </si>
  <si>
    <t>Muriel Richard</t>
  </si>
  <si>
    <t>Institute of Applied Physics – Quantum Optics Laboratory: Entangled Photon Pairs</t>
  </si>
  <si>
    <t>André Stefanov</t>
  </si>
  <si>
    <t>Astronomisches Institut: Opt. Astronomie, Satelliten-Beobachtung</t>
  </si>
  <si>
    <t>Schildknecht</t>
  </si>
  <si>
    <t>Quantum Photonics &amp; Quantum Communication</t>
  </si>
  <si>
    <t>Robert Thew</t>
  </si>
  <si>
    <t>Free Space Optics durch Nebel</t>
  </si>
  <si>
    <t>Jean-Pierre Wolf</t>
  </si>
  <si>
    <t>Laser Communication im weitesten Sinne</t>
  </si>
  <si>
    <t>Leuthold</t>
  </si>
  <si>
    <t>Personalisierte Ernährung</t>
  </si>
  <si>
    <t>Christoph Lacroix</t>
  </si>
  <si>
    <t>Photonische Fertigung</t>
  </si>
  <si>
    <t>Institut für Werkzeugmaschinen und Fertigung</t>
  </si>
  <si>
    <t>??</t>
  </si>
  <si>
    <t>Departement of Information Technology and Electrical Engineering</t>
  </si>
  <si>
    <t>Department of Physics</t>
  </si>
  <si>
    <t>Laboratory of Applied Photonics Devices</t>
  </si>
  <si>
    <t>Christophe Moser</t>
  </si>
  <si>
    <t xml:space="preserve">Photovoltaics and Thin Film Electronics Laboratory </t>
  </si>
  <si>
    <t>Christophe Ballif</t>
  </si>
  <si>
    <t>Institute of Applied Physics</t>
  </si>
  <si>
    <t>Advanced Surfaces and Materials</t>
  </si>
  <si>
    <t>Pierangelo Gröning</t>
  </si>
  <si>
    <t>FH Burgdorf</t>
  </si>
  <si>
    <t>Institute for Applied Laser, Photonics and Surface Technologies</t>
  </si>
  <si>
    <t>Patrick Schwaller</t>
  </si>
  <si>
    <t>https://www.iap.unibe.ch/research/index_eng.html</t>
  </si>
  <si>
    <t>Marcel Baak</t>
  </si>
  <si>
    <t>Simon Kleiner</t>
  </si>
  <si>
    <t>Thomas Nelis</t>
  </si>
  <si>
    <t>Beat Neuenschwander</t>
  </si>
  <si>
    <t>Valerio Romano</t>
  </si>
  <si>
    <t>Photovoltaik</t>
  </si>
  <si>
    <t>CSEM PV-Center</t>
  </si>
  <si>
    <t>CSEM PV-Center: C. Ballif</t>
  </si>
  <si>
    <t>CSEM PV-Center: M. Despeisse</t>
  </si>
  <si>
    <t>Mathieu Despeisse</t>
  </si>
  <si>
    <t>CSEM PV-Center: S. Nicolay</t>
  </si>
  <si>
    <t>Sylvain Nicolay</t>
  </si>
  <si>
    <t>Andreas Hutter</t>
  </si>
  <si>
    <t>Pierre-Jean Alet</t>
  </si>
  <si>
    <t>Julien Bailat</t>
  </si>
  <si>
    <t>Christoph Ballif</t>
  </si>
  <si>
    <t>Nicolas Wyrsch</t>
  </si>
  <si>
    <t>Anders Hagfeldt</t>
  </si>
  <si>
    <t>Michael Graetzel</t>
  </si>
  <si>
    <t>Kevin Sivula</t>
  </si>
  <si>
    <t>Anna Fontcuberta i Morral</t>
  </si>
  <si>
    <t>Jean-Louis Scartezzini</t>
  </si>
  <si>
    <t>Mohammad Khaja Nazeeruddin</t>
  </si>
  <si>
    <t>Ayodhya N. Tiwari</t>
  </si>
  <si>
    <t>Frank Nüesch</t>
  </si>
  <si>
    <t>Beat Ruhstaller</t>
  </si>
  <si>
    <t>Hartmut Nussbaumer</t>
  </si>
  <si>
    <t>Franz Baumgartner</t>
  </si>
  <si>
    <t>Stephen Wittkopf</t>
  </si>
  <si>
    <t>Andreas Häberle</t>
  </si>
  <si>
    <t>Urs Walter Muntwyler</t>
  </si>
  <si>
    <t>Roman Rudel</t>
  </si>
  <si>
    <t>Mauro Caccivo</t>
  </si>
  <si>
    <t>Christoph Ellert</t>
  </si>
  <si>
    <t>Evelina Trutnevyte</t>
  </si>
  <si>
    <t>Point-of-Care-Diagnostik</t>
  </si>
  <si>
    <t>Alexandra Trkola</t>
  </si>
  <si>
    <t>Swiss-TH</t>
  </si>
  <si>
    <t>Uni Bern und RGPE</t>
  </si>
  <si>
    <t>Lorenz Rich</t>
  </si>
  <si>
    <t>IBM Research Center</t>
  </si>
  <si>
    <t>Emmanuel Delamarche</t>
  </si>
  <si>
    <t>Walter Karlen</t>
  </si>
  <si>
    <t>Centre for Laboratory Medicine, St. Gallen</t>
  </si>
  <si>
    <t>Oliver Nolte</t>
  </si>
  <si>
    <t>WHO Switzerland</t>
  </si>
  <si>
    <t>Jane Cunningham</t>
  </si>
  <si>
    <t>Christoph Stamm</t>
  </si>
  <si>
    <t>Fred van den Anker</t>
  </si>
  <si>
    <t>Daniel Gygax</t>
  </si>
  <si>
    <t>Daniel Loss</t>
  </si>
  <si>
    <t>Dominik M. Zumbühl</t>
  </si>
  <si>
    <t>Richard J. Warburton</t>
  </si>
  <si>
    <t>Stefan Willitsch</t>
  </si>
  <si>
    <t>Jelena Klinovaja</t>
  </si>
  <si>
    <t>Christoph Bruder</t>
  </si>
  <si>
    <t>Andreas Wallraff</t>
  </si>
  <si>
    <t>Jonathan Home</t>
  </si>
  <si>
    <t>Tilman Esslinger</t>
  </si>
  <si>
    <t>Klaus Ensslin</t>
  </si>
  <si>
    <t>Renato Renner</t>
  </si>
  <si>
    <t>Yiwen Chu</t>
  </si>
  <si>
    <t>Unsicher ob RG stimmt. https://www.researchgate.net/profile/Yiwen_Chu</t>
  </si>
  <si>
    <t>Tobias Kippenberg</t>
  </si>
  <si>
    <t>Jean-Philippe Brantut</t>
  </si>
  <si>
    <t>Nicolas Brunner</t>
  </si>
  <si>
    <t>Hugo Zbinden</t>
  </si>
  <si>
    <t>Mikael Afzelius</t>
  </si>
  <si>
    <t>NCCR QSIT</t>
  </si>
  <si>
    <t>https://nccr-qsit.ethz.ch/people.html</t>
  </si>
  <si>
    <t xml:space="preserve">NCCR QSIT </t>
  </si>
  <si>
    <t>ETH Quantum Condensed and Coherent Systems</t>
  </si>
  <si>
    <t>Gianni Blatter</t>
  </si>
  <si>
    <t>Quantum Optoelectronics Group</t>
  </si>
  <si>
    <t>Jérôme Faist</t>
  </si>
  <si>
    <t>Laboratory of Semiconductor Materials</t>
  </si>
  <si>
    <t>IBM Nanoscale Science</t>
  </si>
  <si>
    <t>Andreas Fuhrer</t>
  </si>
  <si>
    <t>Thomas Ihn</t>
  </si>
  <si>
    <t>Atac Imamoglu</t>
  </si>
  <si>
    <t>Uni Basel: Quantum Sensing Lab</t>
  </si>
  <si>
    <t>Patrick Maletinski</t>
  </si>
  <si>
    <t>Alberto Morpurgo</t>
  </si>
  <si>
    <t>Lukas Novotny</t>
  </si>
  <si>
    <t>Martino Poggio</t>
  </si>
  <si>
    <t>IBM Research</t>
  </si>
  <si>
    <t>Gian Salis</t>
  </si>
  <si>
    <t>Christian Schönenberger</t>
  </si>
  <si>
    <t>Philipp Treutlein</t>
  </si>
  <si>
    <t>Werner Wegscheider</t>
  </si>
  <si>
    <t>Vanessa Wood</t>
  </si>
  <si>
    <t>NCCR SPIN</t>
  </si>
  <si>
    <t>https://www.quantum.unibas.ch/nccr-spin/principal-investigators/</t>
  </si>
  <si>
    <t>Heike Riel</t>
  </si>
  <si>
    <t>James Wootton</t>
  </si>
  <si>
    <t>Ilaria Zardo</t>
  </si>
  <si>
    <t>Quantenkryptografie</t>
  </si>
  <si>
    <t xml:space="preserve"> GAP-Quantum Technologies, http://unige.ch/gap/qtech</t>
  </si>
  <si>
    <t>Telecommunications Circuits Lab, https://www.epfl.ch/labs/tcl/</t>
  </si>
  <si>
    <t>Andreas Peter Burg</t>
  </si>
  <si>
    <t>Quantum Information Theory Group, https://qit.ethz.ch/</t>
  </si>
  <si>
    <t>Quantum Atom Optics Lab, https://atom.physik.unibas.ch/</t>
  </si>
  <si>
    <t>Philipp Treutlein, Quantum Atom Optics Lab, https://atom.physik.unibas.ch</t>
  </si>
  <si>
    <t>Quantum-safe Cryptography, https://www.zurich.ibm.com/securityprivacy/quantumsafecryptography.html</t>
  </si>
  <si>
    <t>Vadim Lyubashevsky</t>
  </si>
  <si>
    <t>Cryptography and Quantum Information Group, https://cqi.inf.usi.ch/index.php</t>
  </si>
  <si>
    <t>Stefan Wolf</t>
  </si>
  <si>
    <t>Applied Cryptography Group, https://appliedcrypto.ethz.ch/research.html</t>
  </si>
  <si>
    <t>Kenneth Paterson, Applied Cryptography Group, https://appliedcrypto.ethz.ch/research.html</t>
  </si>
  <si>
    <t>Recycling von seltenen Erden</t>
  </si>
  <si>
    <t>Smart Grids</t>
  </si>
  <si>
    <t>Synthetische Biologie</t>
  </si>
  <si>
    <t>Yaakov Benenson</t>
  </si>
  <si>
    <t>Martin Fussenegger</t>
  </si>
  <si>
    <t>Randall J. Platt</t>
  </si>
  <si>
    <t>Platt (ETHZ</t>
  </si>
  <si>
    <t>Jörg Stelling</t>
  </si>
  <si>
    <t>Mustafa Khammash</t>
  </si>
  <si>
    <t>Sai Reddy</t>
  </si>
  <si>
    <t>Beat Christen</t>
  </si>
  <si>
    <t>Michael Nash</t>
  </si>
  <si>
    <t>Unil</t>
  </si>
  <si>
    <t>Yolanda Schaerli</t>
  </si>
  <si>
    <t>Jan-Roelof van der Meer</t>
  </si>
  <si>
    <t>EMPF</t>
  </si>
  <si>
    <t>Sebastian Maerkl</t>
  </si>
  <si>
    <t>Wärmeleitende elektrische Isolatoren</t>
  </si>
  <si>
    <t>Sotiris Pratsinis</t>
  </si>
  <si>
    <t>Multifunctional Materials Laboratory</t>
  </si>
  <si>
    <t>Markus Niederberger</t>
  </si>
  <si>
    <t>PSI Battery Materials Laboratory</t>
  </si>
  <si>
    <t>Claire Villevieille</t>
  </si>
  <si>
    <t>Scheint nicht mehr in der Schweiz zu sein</t>
  </si>
  <si>
    <t>Condensed Mater Physics Laboratory</t>
  </si>
  <si>
    <t>Jean-Marc Trisone</t>
  </si>
  <si>
    <t>Zukünftige Energiespeicherung</t>
  </si>
  <si>
    <t>Chemistry, ETHZ</t>
  </si>
  <si>
    <t>Energy Politics Group, ETHZ</t>
  </si>
  <si>
    <t>Laboratory of Physical and Analytical Electrochemistry LEPA</t>
  </si>
  <si>
    <t>Hubert Girault</t>
  </si>
  <si>
    <t>Laboratory of Organometallic and Medicinal Chemistry LCOM</t>
  </si>
  <si>
    <t>Paul Dyson</t>
  </si>
  <si>
    <t>Laboratory of Materials for Renewable Energy LMER</t>
  </si>
  <si>
    <t>Andreas Züttel</t>
  </si>
  <si>
    <t>Laboratory for Molecular engineering of optoelectronic nanomaterials Lab LIMNO</t>
  </si>
  <si>
    <t>Materials for Energy Conversion</t>
  </si>
  <si>
    <t>Corsin Battaglia</t>
  </si>
  <si>
    <t>Laboratory of Renewable Energy Science and Engineering</t>
  </si>
  <si>
    <t>SCI-STI-JVH, EPFL</t>
  </si>
  <si>
    <t>https://sti.epfl.ch/research/faculty-members/</t>
  </si>
  <si>
    <t>Urban Energy Systems</t>
  </si>
  <si>
    <t>Kristina Orehounig</t>
  </si>
  <si>
    <t>Electrochemistry Laboratory</t>
  </si>
  <si>
    <t>Felix N. Buechi</t>
  </si>
  <si>
    <t>Laboratory for Energy Systems Analysis</t>
  </si>
  <si>
    <t>Dr. Vinh N. Dang</t>
  </si>
  <si>
    <t>Laboratory for Sustainable Catalyisis</t>
  </si>
  <si>
    <t>Jeroen van Bokhoven</t>
  </si>
  <si>
    <t>Laboratory Bioenergy and Catalysis</t>
  </si>
  <si>
    <t>Oliver Kröcher</t>
  </si>
  <si>
    <t>Department of Chemistry &amp; Biochemistry</t>
  </si>
  <si>
    <t>Uni Fribourg</t>
  </si>
  <si>
    <t>Department of Chemistry</t>
  </si>
  <si>
    <t>Energy efficiency, University of Geneva</t>
  </si>
  <si>
    <t>Martin Patel</t>
  </si>
  <si>
    <t>Institut für Maschinen- und Energietechnik</t>
  </si>
  <si>
    <t>Volker Janssen</t>
  </si>
  <si>
    <t>Department of Innovative Technologies</t>
  </si>
  <si>
    <t>IET, Institute for Energy Technology</t>
  </si>
  <si>
    <t>Institute for Solar Technology</t>
  </si>
  <si>
    <t>Forschungsbereich Prozesstechnik</t>
  </si>
  <si>
    <t>IBRE, Alternative Treib- und Brennstoffe</t>
  </si>
  <si>
    <t>Frédéric Vogel</t>
  </si>
  <si>
    <t>IBRE, Verbrennungsforschung</t>
  </si>
  <si>
    <t>Timothy Griffin</t>
  </si>
  <si>
    <t>IBRE, Ressourceneffizienz</t>
  </si>
  <si>
    <t>Michael Bösch</t>
  </si>
  <si>
    <t>IBRE, Strommarkt 2.0</t>
  </si>
  <si>
    <t>Stefan Roth</t>
  </si>
  <si>
    <t>BFH CSEM</t>
  </si>
  <si>
    <t>BFH-CSEM Energy Storage Research Centre</t>
  </si>
  <si>
    <t>Andrea Vezzini</t>
  </si>
  <si>
    <t>Forschungsgruppen</t>
  </si>
  <si>
    <t>Mittelwert H-Index</t>
  </si>
  <si>
    <t>Mtlwrt H-Index (beide Werte)</t>
  </si>
  <si>
    <t>Ohne Werte</t>
  </si>
  <si>
    <t>Anzahl</t>
  </si>
  <si>
    <t>Personen</t>
  </si>
  <si>
    <t>RG</t>
  </si>
  <si>
    <t>RG (ohne)</t>
  </si>
  <si>
    <t>GS</t>
  </si>
  <si>
    <t>GS seit 15</t>
  </si>
  <si>
    <t>RG nv</t>
  </si>
  <si>
    <t>GS nv</t>
  </si>
  <si>
    <t>beide nv</t>
  </si>
  <si>
    <t>Mittelwert</t>
  </si>
  <si>
    <t>Digitale Welt</t>
  </si>
  <si>
    <t>Energie &amp; Umwelt</t>
  </si>
  <si>
    <t>Space</t>
  </si>
  <si>
    <t>Fertigungsprozesse und Materialien</t>
  </si>
  <si>
    <t>Life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</si>
</sst>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35363F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vertAlign val="subscript"/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0" xfId="0" applyFont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4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0" xfId="0" applyBorder="1"/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4" borderId="0" xfId="0" applyFill="1" applyAlignment="1">
      <alignment horizontal="right"/>
    </xf>
    <xf numFmtId="0" fontId="3" fillId="0" borderId="0" xfId="9"/>
    <xf numFmtId="0" fontId="0" fillId="4" borderId="1" xfId="0" applyFill="1" applyBorder="1" applyAlignment="1">
      <alignment horizontal="left" vertical="top" wrapText="1"/>
    </xf>
    <xf numFmtId="0" fontId="0" fillId="5" borderId="0" xfId="0" applyFill="1" applyAlignment="1">
      <alignment horizontal="right"/>
    </xf>
    <xf numFmtId="0" fontId="0" fillId="4" borderId="4" xfId="0" applyFill="1" applyBorder="1" applyAlignment="1">
      <alignment horizontal="left" vertical="top" wrapText="1"/>
    </xf>
    <xf numFmtId="0" fontId="0" fillId="6" borderId="0" xfId="0" applyFill="1" applyAlignment="1">
      <alignment horizontal="right"/>
    </xf>
    <xf numFmtId="0" fontId="0" fillId="6" borderId="4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" fillId="4" borderId="0" xfId="9" applyFill="1" applyAlignment="1">
      <alignment horizontal="left" vertical="top" wrapText="1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0" fillId="7" borderId="0" xfId="0" applyFill="1"/>
    <xf numFmtId="0" fontId="0" fillId="8" borderId="2" xfId="0" applyFill="1" applyBorder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right"/>
    </xf>
    <xf numFmtId="0" fontId="0" fillId="5" borderId="5" xfId="0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" fillId="0" borderId="0" xfId="0" applyFont="1" applyAlignment="1">
      <alignment vertical="center" wrapText="1"/>
    </xf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6" fillId="0" borderId="0" xfId="0" applyFont="1"/>
    <xf numFmtId="0" fontId="6" fillId="0" borderId="12" xfId="0" applyFont="1" applyBorder="1"/>
    <xf numFmtId="0" fontId="6" fillId="0" borderId="13" xfId="0" applyFont="1" applyBorder="1"/>
    <xf numFmtId="0" fontId="7" fillId="0" borderId="12" xfId="0" applyFont="1" applyBorder="1"/>
    <xf numFmtId="0" fontId="7" fillId="0" borderId="14" xfId="0" applyFont="1" applyBorder="1"/>
    <xf numFmtId="0" fontId="6" fillId="0" borderId="11" xfId="0" applyFont="1" applyBorder="1"/>
    <xf numFmtId="1" fontId="6" fillId="0" borderId="0" xfId="0" applyNumberFormat="1" applyFont="1"/>
    <xf numFmtId="0" fontId="6" fillId="0" borderId="10" xfId="0" applyFont="1" applyBorder="1"/>
    <xf numFmtId="1" fontId="6" fillId="0" borderId="10" xfId="0" applyNumberFormat="1" applyFont="1" applyBorder="1"/>
    <xf numFmtId="1" fontId="6" fillId="0" borderId="11" xfId="0" applyNumberFormat="1" applyFont="1" applyBorder="1"/>
    <xf numFmtId="0" fontId="7" fillId="10" borderId="0" xfId="0" applyFont="1" applyFill="1"/>
    <xf numFmtId="0" fontId="7" fillId="10" borderId="11" xfId="0" applyFont="1" applyFill="1" applyBorder="1"/>
    <xf numFmtId="1" fontId="7" fillId="10" borderId="11" xfId="0" applyNumberFormat="1" applyFont="1" applyFill="1" applyBorder="1"/>
    <xf numFmtId="1" fontId="7" fillId="10" borderId="0" xfId="0" applyNumberFormat="1" applyFont="1" applyFill="1"/>
    <xf numFmtId="1" fontId="7" fillId="10" borderId="10" xfId="0" applyNumberFormat="1" applyFont="1" applyFill="1" applyBorder="1"/>
    <xf numFmtId="0" fontId="7" fillId="0" borderId="13" xfId="0" applyFont="1" applyBorder="1"/>
    <xf numFmtId="0" fontId="1" fillId="0" borderId="0" xfId="0" applyFont="1" applyAlignment="1">
      <alignment horizontal="right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0" borderId="0" xfId="0" applyFont="1"/>
    <xf numFmtId="0" fontId="8" fillId="0" borderId="12" xfId="0" applyFont="1" applyBorder="1"/>
    <xf numFmtId="0" fontId="8" fillId="0" borderId="6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8" fillId="10" borderId="0" xfId="0" applyFont="1" applyFill="1"/>
    <xf numFmtId="2" fontId="8" fillId="0" borderId="0" xfId="0" applyNumberFormat="1" applyFont="1"/>
    <xf numFmtId="2" fontId="6" fillId="0" borderId="10" xfId="0" applyNumberFormat="1" applyFont="1" applyBorder="1"/>
    <xf numFmtId="2" fontId="8" fillId="9" borderId="0" xfId="0" applyNumberFormat="1" applyFont="1" applyFill="1"/>
    <xf numFmtId="2" fontId="6" fillId="9" borderId="10" xfId="0" applyNumberFormat="1" applyFont="1" applyFill="1" applyBorder="1"/>
    <xf numFmtId="0" fontId="1" fillId="6" borderId="0" xfId="0" applyFont="1" applyFill="1" applyAlignment="1">
      <alignment wrapText="1"/>
    </xf>
    <xf numFmtId="0" fontId="1" fillId="2" borderId="0" xfId="0" applyFont="1" applyFill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0" xfId="0" applyFont="1" applyAlignment="1">
      <alignment vertical="top" textRotation="90"/>
    </xf>
    <xf numFmtId="0" fontId="9" fillId="10" borderId="15" xfId="0" applyFont="1" applyFill="1" applyBorder="1" applyAlignment="1">
      <alignment vertical="top"/>
    </xf>
    <xf numFmtId="0" fontId="9" fillId="10" borderId="28" xfId="0" applyFont="1" applyFill="1" applyBorder="1" applyAlignment="1">
      <alignment horizontal="left" textRotation="90"/>
    </xf>
    <xf numFmtId="0" fontId="9" fillId="10" borderId="29" xfId="0" applyFont="1" applyFill="1" applyBorder="1" applyAlignment="1">
      <alignment horizontal="left" textRotation="90"/>
    </xf>
    <xf numFmtId="0" fontId="9" fillId="10" borderId="29" xfId="0" applyFont="1" applyFill="1" applyBorder="1" applyAlignment="1">
      <alignment horizontal="left" textRotation="90" wrapText="1"/>
    </xf>
    <xf numFmtId="0" fontId="9" fillId="10" borderId="30" xfId="0" applyFont="1" applyFill="1" applyBorder="1" applyAlignment="1">
      <alignment horizontal="left" textRotation="90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10" borderId="31" xfId="0" applyFont="1" applyFill="1" applyBorder="1" applyAlignment="1">
      <alignment vertical="top"/>
    </xf>
    <xf numFmtId="0" fontId="9" fillId="0" borderId="9" xfId="0" applyFont="1" applyBorder="1" applyAlignment="1">
      <alignment horizontal="left" vertical="top" wrapText="1"/>
    </xf>
    <xf numFmtId="0" fontId="9" fillId="10" borderId="0" xfId="0" applyFont="1" applyFill="1" applyAlignment="1">
      <alignment horizontal="left" textRotation="90"/>
    </xf>
    <xf numFmtId="0" fontId="9" fillId="10" borderId="0" xfId="0" applyFont="1" applyFill="1" applyAlignment="1">
      <alignment horizontal="left" textRotation="90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9" fillId="0" borderId="32" xfId="0" applyFont="1" applyBorder="1" applyAlignment="1">
      <alignment vertical="top"/>
    </xf>
    <xf numFmtId="0" fontId="9" fillId="10" borderId="33" xfId="0" applyFont="1" applyFill="1" applyBorder="1" applyAlignment="1">
      <alignment horizontal="left" textRotation="90"/>
    </xf>
    <xf numFmtId="0" fontId="9" fillId="10" borderId="34" xfId="0" applyFont="1" applyFill="1" applyBorder="1" applyAlignment="1">
      <alignment horizontal="left" textRotation="90"/>
    </xf>
    <xf numFmtId="0" fontId="9" fillId="0" borderId="35" xfId="0" applyFont="1" applyBorder="1" applyAlignment="1">
      <alignment horizontal="left" vertical="top" wrapText="1"/>
    </xf>
    <xf numFmtId="0" fontId="9" fillId="0" borderId="36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0" fontId="9" fillId="0" borderId="40" xfId="0" applyFont="1" applyBorder="1" applyAlignment="1">
      <alignment vertical="top"/>
    </xf>
    <xf numFmtId="0" fontId="9" fillId="10" borderId="8" xfId="0" applyFont="1" applyFill="1" applyBorder="1" applyAlignment="1">
      <alignment horizontal="left" vertical="top"/>
    </xf>
    <xf numFmtId="0" fontId="9" fillId="10" borderId="9" xfId="0" applyFont="1" applyFill="1" applyBorder="1" applyAlignment="1">
      <alignment horizontal="left" vertical="top"/>
    </xf>
    <xf numFmtId="0" fontId="9" fillId="10" borderId="16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left" vertical="top" wrapText="1"/>
    </xf>
    <xf numFmtId="0" fontId="9" fillId="10" borderId="9" xfId="0" applyFont="1" applyFill="1" applyBorder="1" applyAlignment="1">
      <alignment horizontal="left" vertical="top" wrapText="1"/>
    </xf>
    <xf numFmtId="0" fontId="12" fillId="10" borderId="8" xfId="0" applyFont="1" applyFill="1" applyBorder="1" applyAlignment="1">
      <alignment horizontal="left" vertical="top"/>
    </xf>
    <xf numFmtId="0" fontId="12" fillId="10" borderId="9" xfId="0" applyFont="1" applyFill="1" applyBorder="1" applyAlignment="1">
      <alignment horizontal="left" vertical="top" wrapText="1"/>
    </xf>
    <xf numFmtId="0" fontId="12" fillId="10" borderId="1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</cellXfs>
  <cellStyles count="10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Link" xfId="3" builtinId="8" hidden="1"/>
    <cellStyle name="Link" xfId="1" builtinId="8" hidden="1"/>
    <cellStyle name="Link" xfId="7" builtinId="8" hidden="1"/>
    <cellStyle name="Link" xfId="5" builtinId="8" hidden="1"/>
    <cellStyle name="Link" xfId="9" builtinId="8"/>
    <cellStyle name="Standard" xfId="0" builtinId="0"/>
  </cellStyles>
  <dxfs count="4"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('überblick-alt'!$H$3:$H$9,'überblick-alt'!$H$12:$H$15,'überblick-alt'!$H$20,'überblick-alt'!$H$24,'überblick-alt'!$H$26,'überblick-alt'!$H$29,'überblick-alt'!$H$32:$H$42,'überblick-alt'!$H$45:$H$47)</c:f>
              <c:numCache>
                <c:formatCode>0.00</c:formatCode>
                <c:ptCount val="29"/>
                <c:pt idx="0">
                  <c:v>33</c:v>
                </c:pt>
                <c:pt idx="1">
                  <c:v>51.666666666666664</c:v>
                </c:pt>
                <c:pt idx="2">
                  <c:v>20.5</c:v>
                </c:pt>
                <c:pt idx="3">
                  <c:v>22.5</c:v>
                </c:pt>
                <c:pt idx="4">
                  <c:v>31</c:v>
                </c:pt>
                <c:pt idx="5">
                  <c:v>36</c:v>
                </c:pt>
                <c:pt idx="6">
                  <c:v>36.6</c:v>
                </c:pt>
                <c:pt idx="7">
                  <c:v>16.5</c:v>
                </c:pt>
                <c:pt idx="8">
                  <c:v>21.5</c:v>
                </c:pt>
                <c:pt idx="9">
                  <c:v>28</c:v>
                </c:pt>
                <c:pt idx="10">
                  <c:v>21.333333333333332</c:v>
                </c:pt>
                <c:pt idx="11">
                  <c:v>73.333333333333329</c:v>
                </c:pt>
                <c:pt idx="12">
                  <c:v>28</c:v>
                </c:pt>
                <c:pt idx="13">
                  <c:v>59.136363636363633</c:v>
                </c:pt>
                <c:pt idx="14">
                  <c:v>39.166666666666664</c:v>
                </c:pt>
                <c:pt idx="15">
                  <c:v>70</c:v>
                </c:pt>
                <c:pt idx="16">
                  <c:v>40.642857142857146</c:v>
                </c:pt>
                <c:pt idx="17">
                  <c:v>29.454545454545453</c:v>
                </c:pt>
                <c:pt idx="18">
                  <c:v>28</c:v>
                </c:pt>
                <c:pt idx="19">
                  <c:v>45</c:v>
                </c:pt>
                <c:pt idx="20">
                  <c:v>34.799999999999997</c:v>
                </c:pt>
                <c:pt idx="21">
                  <c:v>74</c:v>
                </c:pt>
                <c:pt idx="22">
                  <c:v>59</c:v>
                </c:pt>
                <c:pt idx="23">
                  <c:v>44.666666666666664</c:v>
                </c:pt>
                <c:pt idx="24">
                  <c:v>40.421052631578945</c:v>
                </c:pt>
                <c:pt idx="25">
                  <c:v>41.666666666666664</c:v>
                </c:pt>
                <c:pt idx="26">
                  <c:v>21</c:v>
                </c:pt>
                <c:pt idx="27">
                  <c:v>57.666666666666664</c:v>
                </c:pt>
                <c:pt idx="28">
                  <c:v>38.333333333333336</c:v>
                </c:pt>
              </c:numCache>
            </c:numRef>
          </c:xVal>
          <c:yVal>
            <c:numRef>
              <c:f>('überblick-alt'!$I$3:$I$9,'überblick-alt'!$I$12:$I$15,'überblick-alt'!$I$20,'überblick-alt'!$I$24,'überblick-alt'!$I$26,'überblick-alt'!$I$29,'überblick-alt'!$I$32:$I$42,'überblick-alt'!$I$45:$I$47)</c:f>
              <c:numCache>
                <c:formatCode>0.00</c:formatCode>
                <c:ptCount val="29"/>
                <c:pt idx="0">
                  <c:v>31</c:v>
                </c:pt>
                <c:pt idx="1">
                  <c:v>46.333333333333336</c:v>
                </c:pt>
                <c:pt idx="2">
                  <c:v>20.5</c:v>
                </c:pt>
                <c:pt idx="3">
                  <c:v>18.5</c:v>
                </c:pt>
                <c:pt idx="4">
                  <c:v>31.5</c:v>
                </c:pt>
                <c:pt idx="5">
                  <c:v>25</c:v>
                </c:pt>
                <c:pt idx="6">
                  <c:v>33</c:v>
                </c:pt>
                <c:pt idx="7">
                  <c:v>16.5</c:v>
                </c:pt>
                <c:pt idx="8">
                  <c:v>16.25</c:v>
                </c:pt>
                <c:pt idx="9">
                  <c:v>23</c:v>
                </c:pt>
                <c:pt idx="10">
                  <c:v>19.857142857142858</c:v>
                </c:pt>
                <c:pt idx="11">
                  <c:v>68</c:v>
                </c:pt>
                <c:pt idx="12">
                  <c:v>22.5</c:v>
                </c:pt>
                <c:pt idx="13">
                  <c:v>51.5</c:v>
                </c:pt>
                <c:pt idx="14">
                  <c:v>31.833333333333332</c:v>
                </c:pt>
                <c:pt idx="15">
                  <c:v>68</c:v>
                </c:pt>
                <c:pt idx="16">
                  <c:v>35.571428571428569</c:v>
                </c:pt>
                <c:pt idx="17">
                  <c:v>27.636363636363637</c:v>
                </c:pt>
                <c:pt idx="18">
                  <c:v>24</c:v>
                </c:pt>
                <c:pt idx="19">
                  <c:v>33.333333333333336</c:v>
                </c:pt>
                <c:pt idx="20">
                  <c:v>29.2</c:v>
                </c:pt>
                <c:pt idx="21">
                  <c:v>63</c:v>
                </c:pt>
                <c:pt idx="22">
                  <c:v>53.571428571428569</c:v>
                </c:pt>
                <c:pt idx="23">
                  <c:v>28</c:v>
                </c:pt>
                <c:pt idx="24">
                  <c:v>37.94736842105263</c:v>
                </c:pt>
                <c:pt idx="25">
                  <c:v>36</c:v>
                </c:pt>
                <c:pt idx="26">
                  <c:v>24</c:v>
                </c:pt>
                <c:pt idx="27">
                  <c:v>44.666666666666664</c:v>
                </c:pt>
                <c:pt idx="28">
                  <c:v>31.111111111111111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7-47FE-90AB-1443D13F6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600895"/>
        <c:axId val="1576119999"/>
      </c:scatterChart>
      <c:valAx>
        <c:axId val="168660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6119999"/>
        <c:crosses val="autoZero"/>
        <c:crossBetween val="midCat"/>
      </c:valAx>
      <c:valAx>
        <c:axId val="157611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660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89648</xdr:colOff>
      <xdr:row>5</xdr:row>
      <xdr:rowOff>100853</xdr:rowOff>
    </xdr:from>
    <xdr:to>
      <xdr:col>8</xdr:col>
      <xdr:colOff>707813</xdr:colOff>
      <xdr:row>31</xdr:row>
      <xdr:rowOff>85196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9330FFDA-B2A4-4CE4-9999-D11D2C5AE7D5}"/>
            </a:ext>
          </a:extLst>
        </xdr:cNvPr>
        <xdr:cNvSpPr txBox="1"/>
      </xdr:nvSpPr>
      <xdr:spPr>
        <a:xfrm>
          <a:off x="2633383" y="1243853"/>
          <a:ext cx="11443048" cy="512784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CH" sz="7200">
              <a:solidFill>
                <a:schemeClr val="tx1">
                  <a:lumMod val="95000"/>
                  <a:lumOff val="5000"/>
                </a:schemeClr>
              </a:solidFill>
            </a:rPr>
            <a:t>Gelöscht. In</a:t>
          </a:r>
          <a:r>
            <a:rPr lang="de-CH" sz="7200" baseline="0">
              <a:solidFill>
                <a:schemeClr val="tx1">
                  <a:lumMod val="95000"/>
                  <a:lumOff val="5000"/>
                </a:schemeClr>
              </a:solidFill>
            </a:rPr>
            <a:t> sepparatem File</a:t>
          </a:r>
          <a:endParaRPr lang="de-CH" sz="7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335445</xdr:colOff>
      <xdr:row>30</xdr:row>
      <xdr:rowOff>69574</xdr:rowOff>
    </xdr:from>
    <xdr:to>
      <xdr:col>18</xdr:col>
      <xdr:colOff>335445</xdr:colOff>
      <xdr:row>48</xdr:row>
      <xdr:rowOff>129209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48B7635-6351-4BF7-B729-7440F4C44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2484783</xdr:colOff>
      <xdr:row>0</xdr:row>
      <xdr:rowOff>140804</xdr:rowOff>
    </xdr:from>
    <xdr:to>
      <xdr:col>15</xdr:col>
      <xdr:colOff>418896</xdr:colOff>
      <xdr:row>35</xdr:row>
      <xdr:rowOff>50604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1E50113-76DB-45E8-BC41-06ADC849C04B}"/>
            </a:ext>
          </a:extLst>
        </xdr:cNvPr>
        <xdr:cNvSpPr txBox="1"/>
      </xdr:nvSpPr>
      <xdr:spPr>
        <a:xfrm>
          <a:off x="2484783" y="140804"/>
          <a:ext cx="11443048" cy="512784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CH" sz="7200">
              <a:solidFill>
                <a:schemeClr val="tx1">
                  <a:lumMod val="95000"/>
                  <a:lumOff val="5000"/>
                </a:schemeClr>
              </a:solidFill>
            </a:rPr>
            <a:t>Gelöscht. In</a:t>
          </a:r>
          <a:r>
            <a:rPr lang="de-CH" sz="7200" baseline="0">
              <a:solidFill>
                <a:schemeClr val="tx1">
                  <a:lumMod val="95000"/>
                  <a:lumOff val="5000"/>
                </a:schemeClr>
              </a:solidFill>
            </a:rPr>
            <a:t> sepparatem File</a:t>
          </a:r>
          <a:endParaRPr lang="de-CH" sz="7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ccr-qsit.ethz.ch/people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nccr-qsit.ethz.ch/people.html" TargetMode="External"/><Relationship Id="rId1" Type="http://schemas.openxmlformats.org/officeDocument/2006/relationships/hyperlink" Target="https://sti.epfl.ch/research/faculty-members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iap.unibe.ch/research/index_eng.html" TargetMode="External"/><Relationship Id="rId4" Type="http://schemas.openxmlformats.org/officeDocument/2006/relationships/hyperlink" Target="https://www.quantum.unibas.ch/nccr-spin/principal-investigator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5"/>
  <sheetViews>
    <sheetView tabSelected="1" zoomScale="110" zoomScaleNormal="11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N4" sqref="N4:N35"/>
    </sheetView>
  </sheetViews>
  <sheetFormatPr baseColWidth="10" defaultColWidth="11.453125" defaultRowHeight="14.5" x14ac:dyDescent="0.35"/>
  <cols>
    <col min="1" max="2" width="46.453125" style="89" customWidth="1"/>
    <col min="3" max="3" width="12.1796875" style="94" bestFit="1" customWidth="1"/>
    <col min="4" max="4" width="16.54296875" style="94" bestFit="1" customWidth="1"/>
    <col min="5" max="5" width="32.1796875" style="94" bestFit="1" customWidth="1"/>
    <col min="6" max="6" width="11.7265625" style="94" bestFit="1" customWidth="1"/>
    <col min="7" max="13" width="10.7265625" style="94" customWidth="1"/>
    <col min="14" max="14" width="11.453125" style="94"/>
    <col min="15" max="16384" width="11.453125" style="89"/>
  </cols>
  <sheetData>
    <row r="1" spans="1:14" ht="23.25" customHeight="1" x14ac:dyDescent="0.35">
      <c r="A1" s="143" t="s">
        <v>0</v>
      </c>
      <c r="B1" s="143"/>
      <c r="C1" s="143"/>
      <c r="D1" s="143"/>
      <c r="E1" s="143"/>
    </row>
    <row r="2" spans="1:14" ht="15" thickBot="1" x14ac:dyDescent="0.4">
      <c r="A2" s="90"/>
      <c r="B2" s="90"/>
    </row>
    <row r="3" spans="1:14" ht="106.5" customHeight="1" thickBot="1" x14ac:dyDescent="0.4">
      <c r="A3" s="95"/>
      <c r="B3" s="112"/>
      <c r="C3" s="96" t="s">
        <v>1</v>
      </c>
      <c r="D3" s="97" t="s">
        <v>2</v>
      </c>
      <c r="E3" s="98" t="s">
        <v>3</v>
      </c>
      <c r="F3" s="97" t="s">
        <v>4</v>
      </c>
      <c r="G3" s="98" t="s">
        <v>5</v>
      </c>
      <c r="H3" s="98" t="s">
        <v>6</v>
      </c>
      <c r="I3" s="98" t="s">
        <v>7</v>
      </c>
      <c r="J3" s="97" t="s">
        <v>8</v>
      </c>
      <c r="K3" s="97" t="s">
        <v>9</v>
      </c>
      <c r="L3" s="97" t="s">
        <v>10</v>
      </c>
      <c r="M3" s="99" t="s">
        <v>11</v>
      </c>
    </row>
    <row r="4" spans="1:14" ht="20.149999999999999" customHeight="1" x14ac:dyDescent="0.35">
      <c r="A4" s="91" t="s">
        <v>12</v>
      </c>
      <c r="B4" s="113" t="s">
        <v>684</v>
      </c>
      <c r="C4" s="101"/>
      <c r="D4" s="102"/>
      <c r="E4" s="100" t="s">
        <v>13</v>
      </c>
      <c r="F4" s="100" t="s">
        <v>14</v>
      </c>
      <c r="G4" s="100" t="s">
        <v>13</v>
      </c>
      <c r="H4" s="100"/>
      <c r="I4" s="100" t="s">
        <v>14</v>
      </c>
      <c r="J4" s="100" t="s">
        <v>14</v>
      </c>
      <c r="K4" s="100" t="s">
        <v>13</v>
      </c>
      <c r="L4" s="100" t="s">
        <v>14</v>
      </c>
      <c r="M4" s="103" t="s">
        <v>13</v>
      </c>
      <c r="N4" s="107">
        <f>COUNTA(C4:M4)</f>
        <v>8</v>
      </c>
    </row>
    <row r="5" spans="1:14" ht="20.149999999999999" customHeight="1" x14ac:dyDescent="0.35">
      <c r="A5" s="91" t="s">
        <v>15</v>
      </c>
      <c r="B5" s="113" t="s">
        <v>684</v>
      </c>
      <c r="C5" s="104" t="s">
        <v>14</v>
      </c>
      <c r="D5" s="105" t="s">
        <v>14</v>
      </c>
      <c r="E5" s="106" t="s">
        <v>14</v>
      </c>
      <c r="F5" s="106" t="s">
        <v>14</v>
      </c>
      <c r="G5" s="106" t="s">
        <v>14</v>
      </c>
      <c r="H5" s="106" t="s">
        <v>14</v>
      </c>
      <c r="I5" s="106" t="s">
        <v>14</v>
      </c>
      <c r="J5" s="106" t="s">
        <v>14</v>
      </c>
      <c r="K5" s="106" t="s">
        <v>14</v>
      </c>
      <c r="L5" s="106" t="s">
        <v>14</v>
      </c>
      <c r="M5" s="107" t="s">
        <v>14</v>
      </c>
      <c r="N5" s="107">
        <f t="shared" ref="N5:N35" si="0">COUNTA(C5:M5)</f>
        <v>11</v>
      </c>
    </row>
    <row r="6" spans="1:14" ht="20.149999999999999" customHeight="1" x14ac:dyDescent="0.35">
      <c r="A6" s="91" t="s">
        <v>16</v>
      </c>
      <c r="B6" s="113" t="s">
        <v>684</v>
      </c>
      <c r="C6" s="104"/>
      <c r="D6" s="105"/>
      <c r="E6" s="106" t="s">
        <v>14</v>
      </c>
      <c r="F6" s="106" t="s">
        <v>14</v>
      </c>
      <c r="G6" s="106"/>
      <c r="H6" s="106"/>
      <c r="I6" s="106"/>
      <c r="J6" s="106"/>
      <c r="K6" s="106"/>
      <c r="L6" s="106"/>
      <c r="M6" s="107"/>
      <c r="N6" s="107">
        <f t="shared" si="0"/>
        <v>2</v>
      </c>
    </row>
    <row r="7" spans="1:14" ht="20.149999999999999" customHeight="1" x14ac:dyDescent="0.35">
      <c r="A7" s="91" t="s">
        <v>17</v>
      </c>
      <c r="B7" s="113" t="s">
        <v>684</v>
      </c>
      <c r="C7" s="104"/>
      <c r="D7" s="105"/>
      <c r="E7" s="106"/>
      <c r="F7" s="106"/>
      <c r="G7" s="106"/>
      <c r="H7" s="106"/>
      <c r="I7" s="106"/>
      <c r="J7" s="106"/>
      <c r="K7" s="106"/>
      <c r="L7" s="106"/>
      <c r="M7" s="107"/>
      <c r="N7" s="107">
        <f t="shared" si="0"/>
        <v>0</v>
      </c>
    </row>
    <row r="8" spans="1:14" ht="20.149999999999999" customHeight="1" x14ac:dyDescent="0.35">
      <c r="A8" s="91" t="s">
        <v>18</v>
      </c>
      <c r="B8" s="113" t="s">
        <v>684</v>
      </c>
      <c r="C8" s="104" t="s">
        <v>14</v>
      </c>
      <c r="D8" s="105" t="s">
        <v>14</v>
      </c>
      <c r="E8" s="106" t="s">
        <v>14</v>
      </c>
      <c r="F8" s="106"/>
      <c r="G8" s="106"/>
      <c r="H8" s="106"/>
      <c r="I8" s="106" t="s">
        <v>14</v>
      </c>
      <c r="J8" s="106"/>
      <c r="K8" s="106"/>
      <c r="L8" s="106"/>
      <c r="M8" s="107"/>
      <c r="N8" s="107">
        <f t="shared" si="0"/>
        <v>4</v>
      </c>
    </row>
    <row r="9" spans="1:14" ht="20.149999999999999" customHeight="1" x14ac:dyDescent="0.35">
      <c r="A9" s="135" t="s">
        <v>19</v>
      </c>
      <c r="B9" s="136" t="s">
        <v>685</v>
      </c>
      <c r="C9" s="131" t="s">
        <v>14</v>
      </c>
      <c r="D9" s="132"/>
      <c r="E9" s="133"/>
      <c r="F9" s="133"/>
      <c r="G9" s="133"/>
      <c r="H9" s="133"/>
      <c r="I9" s="133" t="s">
        <v>14</v>
      </c>
      <c r="J9" s="133"/>
      <c r="K9" s="133"/>
      <c r="L9" s="133"/>
      <c r="M9" s="134"/>
      <c r="N9" s="107">
        <f t="shared" si="0"/>
        <v>2</v>
      </c>
    </row>
    <row r="10" spans="1:14" ht="20.149999999999999" customHeight="1" x14ac:dyDescent="0.35">
      <c r="A10" s="135" t="s">
        <v>20</v>
      </c>
      <c r="B10" s="136" t="s">
        <v>685</v>
      </c>
      <c r="C10" s="131" t="s">
        <v>14</v>
      </c>
      <c r="D10" s="132" t="s">
        <v>14</v>
      </c>
      <c r="E10" s="133"/>
      <c r="F10" s="133"/>
      <c r="G10" s="133"/>
      <c r="H10" s="133" t="s">
        <v>14</v>
      </c>
      <c r="I10" s="133" t="s">
        <v>14</v>
      </c>
      <c r="J10" s="133" t="s">
        <v>14</v>
      </c>
      <c r="K10" s="133"/>
      <c r="L10" s="133" t="s">
        <v>14</v>
      </c>
      <c r="M10" s="134" t="s">
        <v>14</v>
      </c>
      <c r="N10" s="107">
        <f t="shared" si="0"/>
        <v>7</v>
      </c>
    </row>
    <row r="11" spans="1:14" ht="20.149999999999999" customHeight="1" x14ac:dyDescent="0.35">
      <c r="A11" s="137" t="s">
        <v>21</v>
      </c>
      <c r="B11" s="138" t="s">
        <v>685</v>
      </c>
      <c r="C11" s="139"/>
      <c r="D11" s="140"/>
      <c r="E11" s="141" t="s">
        <v>14</v>
      </c>
      <c r="F11" s="141"/>
      <c r="G11" s="141"/>
      <c r="H11" s="141"/>
      <c r="I11" s="141" t="s">
        <v>14</v>
      </c>
      <c r="J11" s="141"/>
      <c r="K11" s="141"/>
      <c r="L11" s="141" t="s">
        <v>14</v>
      </c>
      <c r="M11" s="142"/>
      <c r="N11" s="107">
        <f t="shared" si="0"/>
        <v>3</v>
      </c>
    </row>
    <row r="12" spans="1:14" ht="20.149999999999999" customHeight="1" x14ac:dyDescent="0.35">
      <c r="A12" s="135" t="s">
        <v>22</v>
      </c>
      <c r="B12" s="136" t="s">
        <v>685</v>
      </c>
      <c r="C12" s="131" t="s">
        <v>14</v>
      </c>
      <c r="D12" s="132" t="s">
        <v>14</v>
      </c>
      <c r="E12" s="133"/>
      <c r="F12" s="133"/>
      <c r="G12" s="133"/>
      <c r="H12" s="133"/>
      <c r="I12" s="133" t="s">
        <v>14</v>
      </c>
      <c r="J12" s="133"/>
      <c r="K12" s="133"/>
      <c r="L12" s="133" t="s">
        <v>14</v>
      </c>
      <c r="M12" s="134" t="s">
        <v>14</v>
      </c>
      <c r="N12" s="107">
        <f t="shared" si="0"/>
        <v>5</v>
      </c>
    </row>
    <row r="13" spans="1:14" ht="20.149999999999999" customHeight="1" x14ac:dyDescent="0.35">
      <c r="A13" s="135" t="s">
        <v>23</v>
      </c>
      <c r="B13" s="136" t="s">
        <v>685</v>
      </c>
      <c r="C13" s="131"/>
      <c r="D13" s="132"/>
      <c r="E13" s="133"/>
      <c r="F13" s="133"/>
      <c r="G13" s="133"/>
      <c r="H13" s="133"/>
      <c r="I13" s="133" t="s">
        <v>14</v>
      </c>
      <c r="J13" s="133"/>
      <c r="K13" s="133"/>
      <c r="L13" s="133" t="s">
        <v>14</v>
      </c>
      <c r="M13" s="134"/>
      <c r="N13" s="107">
        <f t="shared" si="0"/>
        <v>2</v>
      </c>
    </row>
    <row r="14" spans="1:14" ht="20.149999999999999" customHeight="1" x14ac:dyDescent="0.35">
      <c r="A14" s="135" t="s">
        <v>24</v>
      </c>
      <c r="B14" s="136" t="s">
        <v>685</v>
      </c>
      <c r="C14" s="131" t="s">
        <v>14</v>
      </c>
      <c r="D14" s="132"/>
      <c r="E14" s="133"/>
      <c r="F14" s="133"/>
      <c r="G14" s="133"/>
      <c r="H14" s="133"/>
      <c r="I14" s="133" t="s">
        <v>14</v>
      </c>
      <c r="J14" s="133"/>
      <c r="K14" s="133"/>
      <c r="L14" s="133"/>
      <c r="M14" s="134"/>
      <c r="N14" s="107">
        <f t="shared" si="0"/>
        <v>2</v>
      </c>
    </row>
    <row r="15" spans="1:14" ht="20.149999999999999" customHeight="1" x14ac:dyDescent="0.35">
      <c r="A15" s="135" t="s">
        <v>25</v>
      </c>
      <c r="B15" s="136" t="s">
        <v>685</v>
      </c>
      <c r="C15" s="131"/>
      <c r="D15" s="132"/>
      <c r="E15" s="133"/>
      <c r="F15" s="133"/>
      <c r="G15" s="133"/>
      <c r="H15" s="133"/>
      <c r="I15" s="133" t="s">
        <v>14</v>
      </c>
      <c r="J15" s="133"/>
      <c r="K15" s="133"/>
      <c r="L15" s="133"/>
      <c r="M15" s="134"/>
      <c r="N15" s="107">
        <f t="shared" si="0"/>
        <v>1</v>
      </c>
    </row>
    <row r="16" spans="1:14" ht="20.149999999999999" customHeight="1" x14ac:dyDescent="0.35">
      <c r="A16" s="135" t="s">
        <v>26</v>
      </c>
      <c r="B16" s="136" t="s">
        <v>685</v>
      </c>
      <c r="C16" s="131" t="s">
        <v>14</v>
      </c>
      <c r="D16" s="132"/>
      <c r="E16" s="133"/>
      <c r="F16" s="133"/>
      <c r="G16" s="133" t="s">
        <v>14</v>
      </c>
      <c r="H16" s="133"/>
      <c r="I16" s="133" t="s">
        <v>14</v>
      </c>
      <c r="J16" s="133"/>
      <c r="K16" s="133"/>
      <c r="L16" s="133"/>
      <c r="M16" s="134"/>
      <c r="N16" s="107">
        <f t="shared" si="0"/>
        <v>3</v>
      </c>
    </row>
    <row r="17" spans="1:14" ht="20.149999999999999" customHeight="1" x14ac:dyDescent="0.35">
      <c r="A17" s="91" t="s">
        <v>27</v>
      </c>
      <c r="B17" s="113" t="s">
        <v>686</v>
      </c>
      <c r="C17" s="104"/>
      <c r="D17" s="105"/>
      <c r="E17" s="106"/>
      <c r="F17" s="106"/>
      <c r="G17" s="106" t="s">
        <v>14</v>
      </c>
      <c r="H17" s="106"/>
      <c r="I17" s="106" t="s">
        <v>14</v>
      </c>
      <c r="J17" s="106"/>
      <c r="K17" s="106"/>
      <c r="L17" s="106" t="s">
        <v>14</v>
      </c>
      <c r="M17" s="107"/>
      <c r="N17" s="107">
        <f t="shared" si="0"/>
        <v>3</v>
      </c>
    </row>
    <row r="18" spans="1:14" ht="20.149999999999999" customHeight="1" x14ac:dyDescent="0.35">
      <c r="A18" s="129" t="s">
        <v>28</v>
      </c>
      <c r="B18" s="130" t="s">
        <v>687</v>
      </c>
      <c r="C18" s="131"/>
      <c r="D18" s="132"/>
      <c r="E18" s="133" t="s">
        <v>14</v>
      </c>
      <c r="F18" s="133" t="s">
        <v>14</v>
      </c>
      <c r="G18" s="133"/>
      <c r="H18" s="133"/>
      <c r="I18" s="133"/>
      <c r="J18" s="133"/>
      <c r="K18" s="133"/>
      <c r="L18" s="133"/>
      <c r="M18" s="134"/>
      <c r="N18" s="107">
        <f t="shared" si="0"/>
        <v>2</v>
      </c>
    </row>
    <row r="19" spans="1:14" ht="20.149999999999999" customHeight="1" x14ac:dyDescent="0.35">
      <c r="A19" s="129" t="s">
        <v>29</v>
      </c>
      <c r="B19" s="130" t="s">
        <v>687</v>
      </c>
      <c r="C19" s="131" t="s">
        <v>14</v>
      </c>
      <c r="D19" s="132"/>
      <c r="E19" s="133"/>
      <c r="F19" s="133"/>
      <c r="G19" s="133"/>
      <c r="H19" s="133"/>
      <c r="I19" s="133" t="s">
        <v>14</v>
      </c>
      <c r="J19" s="133" t="s">
        <v>14</v>
      </c>
      <c r="K19" s="133"/>
      <c r="L19" s="133"/>
      <c r="M19" s="134"/>
      <c r="N19" s="107">
        <f t="shared" si="0"/>
        <v>3</v>
      </c>
    </row>
    <row r="20" spans="1:14" ht="20.149999999999999" customHeight="1" x14ac:dyDescent="0.35">
      <c r="A20" s="129" t="s">
        <v>30</v>
      </c>
      <c r="B20" s="130" t="s">
        <v>687</v>
      </c>
      <c r="C20" s="131" t="s">
        <v>14</v>
      </c>
      <c r="D20" s="132"/>
      <c r="E20" s="133"/>
      <c r="F20" s="133"/>
      <c r="G20" s="133"/>
      <c r="H20" s="133"/>
      <c r="I20" s="133" t="s">
        <v>14</v>
      </c>
      <c r="J20" s="133"/>
      <c r="K20" s="133"/>
      <c r="L20" s="133"/>
      <c r="M20" s="134"/>
      <c r="N20" s="107">
        <f t="shared" si="0"/>
        <v>2</v>
      </c>
    </row>
    <row r="21" spans="1:14" ht="20.149999999999999" customHeight="1" x14ac:dyDescent="0.35">
      <c r="A21" s="129" t="s">
        <v>31</v>
      </c>
      <c r="B21" s="130" t="s">
        <v>687</v>
      </c>
      <c r="C21" s="131"/>
      <c r="D21" s="132"/>
      <c r="E21" s="133"/>
      <c r="F21" s="133"/>
      <c r="G21" s="133"/>
      <c r="H21" s="133" t="s">
        <v>14</v>
      </c>
      <c r="I21" s="133" t="s">
        <v>14</v>
      </c>
      <c r="J21" s="133"/>
      <c r="K21" s="133"/>
      <c r="L21" s="133"/>
      <c r="M21" s="134"/>
      <c r="N21" s="107">
        <f t="shared" si="0"/>
        <v>2</v>
      </c>
    </row>
    <row r="22" spans="1:14" ht="20.149999999999999" customHeight="1" x14ac:dyDescent="0.35">
      <c r="A22" s="129" t="s">
        <v>32</v>
      </c>
      <c r="B22" s="130" t="s">
        <v>687</v>
      </c>
      <c r="C22" s="131" t="s">
        <v>14</v>
      </c>
      <c r="D22" s="132" t="s">
        <v>14</v>
      </c>
      <c r="E22" s="133" t="s">
        <v>14</v>
      </c>
      <c r="F22" s="133" t="s">
        <v>14</v>
      </c>
      <c r="G22" s="133" t="s">
        <v>14</v>
      </c>
      <c r="H22" s="133" t="s">
        <v>14</v>
      </c>
      <c r="I22" s="133" t="s">
        <v>14</v>
      </c>
      <c r="J22" s="133" t="s">
        <v>14</v>
      </c>
      <c r="K22" s="133" t="s">
        <v>14</v>
      </c>
      <c r="L22" s="133" t="s">
        <v>14</v>
      </c>
      <c r="M22" s="134" t="s">
        <v>14</v>
      </c>
      <c r="N22" s="107">
        <f t="shared" si="0"/>
        <v>11</v>
      </c>
    </row>
    <row r="23" spans="1:14" ht="20.149999999999999" customHeight="1" x14ac:dyDescent="0.35">
      <c r="A23" s="129" t="s">
        <v>33</v>
      </c>
      <c r="B23" s="130" t="s">
        <v>687</v>
      </c>
      <c r="C23" s="131"/>
      <c r="D23" s="132" t="s">
        <v>14</v>
      </c>
      <c r="E23" s="133" t="s">
        <v>14</v>
      </c>
      <c r="F23" s="133" t="s">
        <v>14</v>
      </c>
      <c r="G23" s="133"/>
      <c r="H23" s="133" t="s">
        <v>14</v>
      </c>
      <c r="I23" s="133"/>
      <c r="J23" s="133"/>
      <c r="K23" s="133"/>
      <c r="L23" s="133"/>
      <c r="M23" s="134"/>
      <c r="N23" s="107">
        <f t="shared" si="0"/>
        <v>4</v>
      </c>
    </row>
    <row r="24" spans="1:14" ht="20.149999999999999" customHeight="1" x14ac:dyDescent="0.35">
      <c r="A24" s="135" t="s">
        <v>34</v>
      </c>
      <c r="B24" s="130" t="s">
        <v>687</v>
      </c>
      <c r="C24" s="131" t="s">
        <v>14</v>
      </c>
      <c r="D24" s="132"/>
      <c r="E24" s="133"/>
      <c r="F24" s="133"/>
      <c r="G24" s="133" t="s">
        <v>14</v>
      </c>
      <c r="H24" s="133" t="s">
        <v>14</v>
      </c>
      <c r="I24" s="133"/>
      <c r="J24" s="133" t="s">
        <v>14</v>
      </c>
      <c r="K24" s="133"/>
      <c r="L24" s="133"/>
      <c r="M24" s="134"/>
      <c r="N24" s="107">
        <f t="shared" si="0"/>
        <v>4</v>
      </c>
    </row>
    <row r="25" spans="1:14" ht="20.149999999999999" customHeight="1" x14ac:dyDescent="0.35">
      <c r="A25" s="129" t="s">
        <v>35</v>
      </c>
      <c r="B25" s="130" t="s">
        <v>687</v>
      </c>
      <c r="C25" s="131" t="s">
        <v>14</v>
      </c>
      <c r="D25" s="132"/>
      <c r="E25" s="133" t="s">
        <v>14</v>
      </c>
      <c r="F25" s="133" t="s">
        <v>14</v>
      </c>
      <c r="G25" s="133"/>
      <c r="H25" s="133"/>
      <c r="I25" s="133" t="s">
        <v>14</v>
      </c>
      <c r="J25" s="133"/>
      <c r="K25" s="133"/>
      <c r="L25" s="133"/>
      <c r="M25" s="134"/>
      <c r="N25" s="107">
        <f t="shared" si="0"/>
        <v>4</v>
      </c>
    </row>
    <row r="26" spans="1:14" ht="20.149999999999999" customHeight="1" x14ac:dyDescent="0.35">
      <c r="A26" s="129" t="s">
        <v>36</v>
      </c>
      <c r="B26" s="130" t="s">
        <v>687</v>
      </c>
      <c r="C26" s="131" t="s">
        <v>14</v>
      </c>
      <c r="D26" s="132"/>
      <c r="E26" s="133"/>
      <c r="F26" s="133"/>
      <c r="G26" s="133"/>
      <c r="H26" s="133"/>
      <c r="I26" s="133"/>
      <c r="J26" s="133"/>
      <c r="K26" s="133"/>
      <c r="L26" s="133"/>
      <c r="M26" s="134"/>
      <c r="N26" s="107">
        <f t="shared" si="0"/>
        <v>1</v>
      </c>
    </row>
    <row r="27" spans="1:14" ht="20.149999999999999" customHeight="1" x14ac:dyDescent="0.35">
      <c r="A27" s="129" t="s">
        <v>37</v>
      </c>
      <c r="B27" s="130" t="s">
        <v>687</v>
      </c>
      <c r="C27" s="131"/>
      <c r="D27" s="132"/>
      <c r="E27" s="133"/>
      <c r="F27" s="133"/>
      <c r="G27" s="133"/>
      <c r="H27" s="133"/>
      <c r="I27" s="133"/>
      <c r="J27" s="133"/>
      <c r="K27" s="133"/>
      <c r="L27" s="133"/>
      <c r="M27" s="134"/>
      <c r="N27" s="107">
        <f t="shared" si="0"/>
        <v>0</v>
      </c>
    </row>
    <row r="28" spans="1:14" ht="20.149999999999999" customHeight="1" x14ac:dyDescent="0.35">
      <c r="A28" s="135" t="s">
        <v>38</v>
      </c>
      <c r="B28" s="130" t="s">
        <v>687</v>
      </c>
      <c r="C28" s="131" t="s">
        <v>14</v>
      </c>
      <c r="D28" s="132"/>
      <c r="E28" s="133"/>
      <c r="F28" s="133"/>
      <c r="G28" s="133" t="s">
        <v>14</v>
      </c>
      <c r="H28" s="133"/>
      <c r="I28" s="133"/>
      <c r="J28" s="133"/>
      <c r="K28" s="133"/>
      <c r="L28" s="133"/>
      <c r="M28" s="134"/>
      <c r="N28" s="107">
        <f t="shared" si="0"/>
        <v>2</v>
      </c>
    </row>
    <row r="29" spans="1:14" ht="20.149999999999999" customHeight="1" x14ac:dyDescent="0.35">
      <c r="A29" s="91" t="s">
        <v>39</v>
      </c>
      <c r="B29" s="113" t="s">
        <v>688</v>
      </c>
      <c r="C29" s="104"/>
      <c r="D29" s="105" t="s">
        <v>14</v>
      </c>
      <c r="E29" s="106"/>
      <c r="F29" s="106"/>
      <c r="G29" s="106"/>
      <c r="H29" s="106"/>
      <c r="I29" s="106" t="s">
        <v>14</v>
      </c>
      <c r="J29" s="106" t="s">
        <v>14</v>
      </c>
      <c r="K29" s="106"/>
      <c r="L29" s="106" t="s">
        <v>14</v>
      </c>
      <c r="M29" s="107"/>
      <c r="N29" s="107">
        <f t="shared" si="0"/>
        <v>4</v>
      </c>
    </row>
    <row r="30" spans="1:14" ht="20.149999999999999" customHeight="1" x14ac:dyDescent="0.35">
      <c r="A30" s="92" t="s">
        <v>40</v>
      </c>
      <c r="B30" s="113" t="s">
        <v>688</v>
      </c>
      <c r="C30" s="104" t="s">
        <v>14</v>
      </c>
      <c r="D30" s="105" t="s">
        <v>14</v>
      </c>
      <c r="E30" s="106" t="s">
        <v>14</v>
      </c>
      <c r="F30" s="106" t="s">
        <v>14</v>
      </c>
      <c r="G30" s="106" t="s">
        <v>14</v>
      </c>
      <c r="H30" s="106"/>
      <c r="I30" s="106" t="s">
        <v>14</v>
      </c>
      <c r="J30" s="106" t="s">
        <v>14</v>
      </c>
      <c r="K30" s="106"/>
      <c r="L30" s="106" t="s">
        <v>14</v>
      </c>
      <c r="M30" s="107"/>
      <c r="N30" s="107">
        <f t="shared" si="0"/>
        <v>8</v>
      </c>
    </row>
    <row r="31" spans="1:14" ht="20.149999999999999" customHeight="1" x14ac:dyDescent="0.35">
      <c r="A31" s="91" t="s">
        <v>41</v>
      </c>
      <c r="B31" s="113" t="s">
        <v>688</v>
      </c>
      <c r="C31" s="104" t="s">
        <v>14</v>
      </c>
      <c r="D31" s="105" t="s">
        <v>14</v>
      </c>
      <c r="E31" s="106"/>
      <c r="F31" s="106"/>
      <c r="G31" s="106"/>
      <c r="H31" s="106"/>
      <c r="I31" s="106" t="s">
        <v>14</v>
      </c>
      <c r="J31" s="106" t="s">
        <v>14</v>
      </c>
      <c r="K31" s="106"/>
      <c r="L31" s="106" t="s">
        <v>14</v>
      </c>
      <c r="M31" s="107"/>
      <c r="N31" s="107">
        <f t="shared" si="0"/>
        <v>5</v>
      </c>
    </row>
    <row r="32" spans="1:14" ht="20.149999999999999" customHeight="1" x14ac:dyDescent="0.35">
      <c r="A32" s="92" t="s">
        <v>42</v>
      </c>
      <c r="B32" s="113" t="s">
        <v>688</v>
      </c>
      <c r="C32" s="104" t="s">
        <v>14</v>
      </c>
      <c r="D32" s="105" t="s">
        <v>14</v>
      </c>
      <c r="E32" s="106" t="s">
        <v>14</v>
      </c>
      <c r="F32" s="106" t="s">
        <v>14</v>
      </c>
      <c r="G32" s="106" t="s">
        <v>14</v>
      </c>
      <c r="H32" s="106"/>
      <c r="I32" s="106"/>
      <c r="J32" s="106"/>
      <c r="K32" s="106"/>
      <c r="L32" s="106"/>
      <c r="M32" s="107"/>
      <c r="N32" s="107">
        <f t="shared" si="0"/>
        <v>5</v>
      </c>
    </row>
    <row r="33" spans="1:14" ht="20.149999999999999" customHeight="1" x14ac:dyDescent="0.35">
      <c r="A33" s="92" t="s">
        <v>43</v>
      </c>
      <c r="B33" s="113" t="s">
        <v>688</v>
      </c>
      <c r="C33" s="104" t="s">
        <v>14</v>
      </c>
      <c r="D33" s="105" t="s">
        <v>14</v>
      </c>
      <c r="E33" s="106"/>
      <c r="F33" s="106"/>
      <c r="G33" s="106"/>
      <c r="H33" s="106"/>
      <c r="I33" s="106"/>
      <c r="J33" s="106"/>
      <c r="K33" s="106"/>
      <c r="L33" s="106" t="s">
        <v>14</v>
      </c>
      <c r="M33" s="107"/>
      <c r="N33" s="107">
        <f t="shared" si="0"/>
        <v>3</v>
      </c>
    </row>
    <row r="34" spans="1:14" ht="20.149999999999999" customHeight="1" x14ac:dyDescent="0.35">
      <c r="A34" s="91" t="s">
        <v>44</v>
      </c>
      <c r="B34" s="113" t="s">
        <v>688</v>
      </c>
      <c r="C34" s="104"/>
      <c r="D34" s="105"/>
      <c r="E34" s="106"/>
      <c r="F34" s="106"/>
      <c r="G34" s="106"/>
      <c r="H34" s="106"/>
      <c r="I34" s="106"/>
      <c r="J34" s="106"/>
      <c r="K34" s="106"/>
      <c r="L34" s="106" t="s">
        <v>14</v>
      </c>
      <c r="M34" s="107"/>
      <c r="N34" s="107">
        <f t="shared" si="0"/>
        <v>1</v>
      </c>
    </row>
    <row r="35" spans="1:14" ht="20.149999999999999" customHeight="1" thickBot="1" x14ac:dyDescent="0.4">
      <c r="A35" s="93" t="s">
        <v>45</v>
      </c>
      <c r="B35" s="113" t="s">
        <v>688</v>
      </c>
      <c r="C35" s="108" t="s">
        <v>14</v>
      </c>
      <c r="D35" s="109" t="s">
        <v>14</v>
      </c>
      <c r="E35" s="110"/>
      <c r="F35" s="110"/>
      <c r="G35" s="110"/>
      <c r="H35" s="110"/>
      <c r="I35" s="110"/>
      <c r="J35" s="110"/>
      <c r="K35" s="110"/>
      <c r="L35" s="110" t="s">
        <v>14</v>
      </c>
      <c r="M35" s="111"/>
      <c r="N35" s="107">
        <f t="shared" si="0"/>
        <v>3</v>
      </c>
    </row>
    <row r="43" spans="1:14" ht="15" thickBot="1" x14ac:dyDescent="0.4"/>
    <row r="44" spans="1:14" ht="89.5" x14ac:dyDescent="0.35">
      <c r="B44" s="120"/>
      <c r="C44" s="121" t="s">
        <v>1</v>
      </c>
      <c r="D44" s="122" t="s">
        <v>2</v>
      </c>
      <c r="E44" s="115" t="s">
        <v>3</v>
      </c>
      <c r="F44" s="114" t="s">
        <v>4</v>
      </c>
      <c r="G44" s="115" t="s">
        <v>5</v>
      </c>
      <c r="H44" s="115" t="s">
        <v>6</v>
      </c>
      <c r="I44" s="115" t="s">
        <v>7</v>
      </c>
      <c r="J44" s="114" t="s">
        <v>8</v>
      </c>
      <c r="K44" s="114" t="s">
        <v>9</v>
      </c>
      <c r="L44" s="114" t="s">
        <v>10</v>
      </c>
      <c r="M44" s="114" t="s">
        <v>11</v>
      </c>
    </row>
    <row r="45" spans="1:14" x14ac:dyDescent="0.35">
      <c r="B45" s="123" t="s">
        <v>684</v>
      </c>
      <c r="C45" s="119">
        <f>COUNTIFS($B$4:$B$35,$B45,C$4:C$35,"&lt;&gt;")</f>
        <v>2</v>
      </c>
      <c r="D45" s="124">
        <f t="shared" ref="D45:M48" si="1">COUNTIFS($B$4:$B$35,$B45,D$4:D$35,"&lt;&gt;")</f>
        <v>2</v>
      </c>
      <c r="E45" s="119">
        <f t="shared" si="1"/>
        <v>4</v>
      </c>
      <c r="F45" s="119">
        <f t="shared" si="1"/>
        <v>3</v>
      </c>
      <c r="G45" s="119">
        <f t="shared" si="1"/>
        <v>2</v>
      </c>
      <c r="H45" s="119">
        <f t="shared" si="1"/>
        <v>1</v>
      </c>
      <c r="I45" s="119">
        <f t="shared" si="1"/>
        <v>3</v>
      </c>
      <c r="J45" s="119">
        <f t="shared" si="1"/>
        <v>2</v>
      </c>
      <c r="K45" s="119">
        <f t="shared" si="1"/>
        <v>2</v>
      </c>
      <c r="L45" s="119">
        <f t="shared" si="1"/>
        <v>2</v>
      </c>
      <c r="M45" s="119">
        <f t="shared" si="1"/>
        <v>2</v>
      </c>
    </row>
    <row r="46" spans="1:14" ht="15" thickBot="1" x14ac:dyDescent="0.4">
      <c r="B46" s="125" t="s">
        <v>685</v>
      </c>
      <c r="C46" s="126">
        <f t="shared" ref="C46:C48" si="2">COUNTIFS($B$4:$B$35,$B46,C$4:C$35,"&lt;&gt;")</f>
        <v>5</v>
      </c>
      <c r="D46" s="127">
        <f t="shared" si="1"/>
        <v>2</v>
      </c>
      <c r="E46" s="119">
        <f t="shared" si="1"/>
        <v>1</v>
      </c>
      <c r="F46" s="119">
        <f t="shared" si="1"/>
        <v>0</v>
      </c>
      <c r="G46" s="119">
        <f t="shared" si="1"/>
        <v>1</v>
      </c>
      <c r="H46" s="119">
        <f t="shared" si="1"/>
        <v>1</v>
      </c>
      <c r="I46" s="119">
        <f t="shared" si="1"/>
        <v>8</v>
      </c>
      <c r="J46" s="119">
        <f t="shared" si="1"/>
        <v>1</v>
      </c>
      <c r="K46" s="119">
        <f t="shared" si="1"/>
        <v>0</v>
      </c>
      <c r="L46" s="119">
        <f t="shared" si="1"/>
        <v>4</v>
      </c>
      <c r="M46" s="119">
        <f t="shared" si="1"/>
        <v>2</v>
      </c>
    </row>
    <row r="47" spans="1:14" x14ac:dyDescent="0.35">
      <c r="B47" s="117" t="s">
        <v>687</v>
      </c>
      <c r="C47" s="119">
        <f t="shared" si="2"/>
        <v>7</v>
      </c>
      <c r="D47" s="119">
        <f t="shared" si="1"/>
        <v>2</v>
      </c>
      <c r="E47" s="119">
        <f t="shared" si="1"/>
        <v>4</v>
      </c>
      <c r="F47" s="119">
        <f t="shared" si="1"/>
        <v>4</v>
      </c>
      <c r="G47" s="119">
        <f t="shared" si="1"/>
        <v>3</v>
      </c>
      <c r="H47" s="119">
        <f t="shared" si="1"/>
        <v>4</v>
      </c>
      <c r="I47" s="119">
        <f t="shared" si="1"/>
        <v>5</v>
      </c>
      <c r="J47" s="119">
        <f t="shared" si="1"/>
        <v>3</v>
      </c>
      <c r="K47" s="119">
        <f t="shared" si="1"/>
        <v>1</v>
      </c>
      <c r="L47" s="119">
        <f t="shared" si="1"/>
        <v>1</v>
      </c>
      <c r="M47" s="119">
        <f t="shared" si="1"/>
        <v>1</v>
      </c>
    </row>
    <row r="48" spans="1:14" x14ac:dyDescent="0.35">
      <c r="B48" s="116" t="s">
        <v>688</v>
      </c>
      <c r="C48" s="119">
        <f t="shared" si="2"/>
        <v>5</v>
      </c>
      <c r="D48" s="119">
        <f t="shared" si="1"/>
        <v>6</v>
      </c>
      <c r="E48" s="119">
        <f t="shared" si="1"/>
        <v>2</v>
      </c>
      <c r="F48" s="119">
        <f t="shared" si="1"/>
        <v>2</v>
      </c>
      <c r="G48" s="119">
        <f t="shared" si="1"/>
        <v>2</v>
      </c>
      <c r="H48" s="119">
        <f t="shared" si="1"/>
        <v>0</v>
      </c>
      <c r="I48" s="119">
        <f t="shared" si="1"/>
        <v>3</v>
      </c>
      <c r="J48" s="119">
        <f t="shared" si="1"/>
        <v>3</v>
      </c>
      <c r="K48" s="119">
        <f t="shared" si="1"/>
        <v>0</v>
      </c>
      <c r="L48" s="119">
        <f t="shared" si="1"/>
        <v>6</v>
      </c>
      <c r="M48" s="119">
        <f t="shared" si="1"/>
        <v>0</v>
      </c>
    </row>
    <row r="49" spans="2:13" x14ac:dyDescent="0.35">
      <c r="B49" s="116" t="s">
        <v>686</v>
      </c>
      <c r="C49" s="118">
        <f t="shared" ref="C49:M49" si="3">COUNTIFS($B$4:$B$35,$B49,C$4:C$35,"&lt;&gt;")</f>
        <v>0</v>
      </c>
      <c r="D49" s="118">
        <f t="shared" si="3"/>
        <v>0</v>
      </c>
      <c r="E49" s="118">
        <f t="shared" si="3"/>
        <v>0</v>
      </c>
      <c r="F49" s="118">
        <f t="shared" si="3"/>
        <v>0</v>
      </c>
      <c r="G49" s="118">
        <f t="shared" si="3"/>
        <v>1</v>
      </c>
      <c r="H49" s="118">
        <f t="shared" si="3"/>
        <v>0</v>
      </c>
      <c r="I49" s="118">
        <f t="shared" si="3"/>
        <v>1</v>
      </c>
      <c r="J49" s="118">
        <f t="shared" si="3"/>
        <v>0</v>
      </c>
      <c r="K49" s="118">
        <f t="shared" si="3"/>
        <v>0</v>
      </c>
      <c r="L49" s="118">
        <f t="shared" si="3"/>
        <v>1</v>
      </c>
      <c r="M49" s="118">
        <f t="shared" si="3"/>
        <v>0</v>
      </c>
    </row>
    <row r="54" spans="2:13" x14ac:dyDescent="0.35">
      <c r="B54" s="128"/>
      <c r="C54" s="128" t="s">
        <v>684</v>
      </c>
      <c r="D54" s="128" t="s">
        <v>685</v>
      </c>
      <c r="E54" s="128" t="s">
        <v>687</v>
      </c>
      <c r="F54" s="128" t="s">
        <v>688</v>
      </c>
    </row>
    <row r="55" spans="2:13" x14ac:dyDescent="0.35">
      <c r="B55" s="128" t="s">
        <v>1</v>
      </c>
      <c r="C55" s="128">
        <v>2</v>
      </c>
      <c r="D55" s="128">
        <v>5</v>
      </c>
      <c r="E55" s="128">
        <v>7</v>
      </c>
      <c r="F55" s="128">
        <v>5</v>
      </c>
    </row>
    <row r="56" spans="2:13" x14ac:dyDescent="0.35">
      <c r="B56" s="128" t="s">
        <v>2</v>
      </c>
      <c r="C56" s="128">
        <v>2</v>
      </c>
      <c r="D56" s="128">
        <v>2</v>
      </c>
      <c r="E56" s="128">
        <v>2</v>
      </c>
      <c r="F56" s="128">
        <v>6</v>
      </c>
    </row>
    <row r="57" spans="2:13" x14ac:dyDescent="0.35">
      <c r="B57" s="128" t="s">
        <v>3</v>
      </c>
      <c r="C57" s="128">
        <v>4</v>
      </c>
      <c r="D57" s="128">
        <v>1</v>
      </c>
      <c r="E57" s="128">
        <v>4</v>
      </c>
      <c r="F57" s="128">
        <v>2</v>
      </c>
    </row>
    <row r="58" spans="2:13" x14ac:dyDescent="0.35">
      <c r="B58" s="128" t="s">
        <v>4</v>
      </c>
      <c r="C58" s="128">
        <v>3</v>
      </c>
      <c r="D58" s="128">
        <v>0</v>
      </c>
      <c r="E58" s="128">
        <v>4</v>
      </c>
      <c r="F58" s="128">
        <v>2</v>
      </c>
    </row>
    <row r="59" spans="2:13" x14ac:dyDescent="0.35">
      <c r="B59" s="128" t="s">
        <v>5</v>
      </c>
      <c r="C59" s="128">
        <v>2</v>
      </c>
      <c r="D59" s="128">
        <v>1</v>
      </c>
      <c r="E59" s="128">
        <v>3</v>
      </c>
      <c r="F59" s="128">
        <v>2</v>
      </c>
    </row>
    <row r="60" spans="2:13" x14ac:dyDescent="0.35">
      <c r="B60" s="128" t="s">
        <v>6</v>
      </c>
      <c r="C60" s="128">
        <v>1</v>
      </c>
      <c r="D60" s="128">
        <v>1</v>
      </c>
      <c r="E60" s="128">
        <v>4</v>
      </c>
      <c r="F60" s="128">
        <v>0</v>
      </c>
    </row>
    <row r="61" spans="2:13" x14ac:dyDescent="0.35">
      <c r="B61" s="128" t="s">
        <v>7</v>
      </c>
      <c r="C61" s="128">
        <v>3</v>
      </c>
      <c r="D61" s="128">
        <v>8</v>
      </c>
      <c r="E61" s="128">
        <v>5</v>
      </c>
      <c r="F61" s="128">
        <v>3</v>
      </c>
    </row>
    <row r="62" spans="2:13" x14ac:dyDescent="0.35">
      <c r="B62" s="128" t="s">
        <v>8</v>
      </c>
      <c r="C62" s="128">
        <v>2</v>
      </c>
      <c r="D62" s="128">
        <v>1</v>
      </c>
      <c r="E62" s="128">
        <v>3</v>
      </c>
      <c r="F62" s="128">
        <v>3</v>
      </c>
    </row>
    <row r="63" spans="2:13" x14ac:dyDescent="0.35">
      <c r="B63" s="128" t="s">
        <v>9</v>
      </c>
      <c r="C63" s="128">
        <v>2</v>
      </c>
      <c r="D63" s="128">
        <v>0</v>
      </c>
      <c r="E63" s="128">
        <v>1</v>
      </c>
      <c r="F63" s="128">
        <v>0</v>
      </c>
    </row>
    <row r="64" spans="2:13" x14ac:dyDescent="0.35">
      <c r="B64" s="128" t="s">
        <v>10</v>
      </c>
      <c r="C64" s="128">
        <v>2</v>
      </c>
      <c r="D64" s="128">
        <v>4</v>
      </c>
      <c r="E64" s="128">
        <v>1</v>
      </c>
      <c r="F64" s="128">
        <v>6</v>
      </c>
    </row>
    <row r="65" spans="2:6" x14ac:dyDescent="0.35">
      <c r="B65" s="128" t="s">
        <v>11</v>
      </c>
      <c r="C65" s="128">
        <v>2</v>
      </c>
      <c r="D65" s="128">
        <v>2</v>
      </c>
      <c r="E65" s="128">
        <v>1</v>
      </c>
      <c r="F65" s="128">
        <v>0</v>
      </c>
    </row>
  </sheetData>
  <dataConsolidate/>
  <mergeCells count="1">
    <mergeCell ref="A1:E1"/>
  </mergeCells>
  <phoneticPr fontId="2" type="noConversion"/>
  <conditionalFormatting sqref="B54:F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:M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8" scale="9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FE07-EF91-4631-BB47-7631B2F51BC4}">
  <dimension ref="A1:I466"/>
  <sheetViews>
    <sheetView zoomScale="85" zoomScaleNormal="85" workbookViewId="0">
      <pane ySplit="2" topLeftCell="A3" activePane="bottomLeft" state="frozen"/>
      <selection pane="bottomLeft" activeCell="J5" sqref="J5"/>
    </sheetView>
  </sheetViews>
  <sheetFormatPr baseColWidth="10" defaultColWidth="11.453125" defaultRowHeight="14.5" x14ac:dyDescent="0.35"/>
  <cols>
    <col min="1" max="1" width="38.1796875" style="18" customWidth="1"/>
    <col min="2" max="2" width="22.453125" bestFit="1" customWidth="1"/>
    <col min="3" max="3" width="60" style="6" customWidth="1"/>
    <col min="4" max="4" width="29.1796875" style="38" customWidth="1"/>
    <col min="5" max="5" width="16.54296875" customWidth="1"/>
  </cols>
  <sheetData>
    <row r="1" spans="1:8" x14ac:dyDescent="0.35">
      <c r="E1" s="144" t="s">
        <v>46</v>
      </c>
      <c r="F1" s="144"/>
      <c r="G1" s="144" t="s">
        <v>47</v>
      </c>
      <c r="H1" s="144"/>
    </row>
    <row r="2" spans="1:8" s="20" customFormat="1" ht="29" x14ac:dyDescent="0.35">
      <c r="A2" s="18" t="s">
        <v>48</v>
      </c>
      <c r="B2" s="1" t="s">
        <v>49</v>
      </c>
      <c r="C2" s="19" t="s">
        <v>50</v>
      </c>
      <c r="D2" s="39" t="s">
        <v>51</v>
      </c>
      <c r="E2" s="88" t="s">
        <v>52</v>
      </c>
      <c r="F2" s="87" t="s">
        <v>53</v>
      </c>
      <c r="G2" s="88" t="s">
        <v>54</v>
      </c>
      <c r="H2" s="88" t="s">
        <v>55</v>
      </c>
    </row>
    <row r="3" spans="1:8" x14ac:dyDescent="0.35">
      <c r="A3" s="10" t="s">
        <v>56</v>
      </c>
      <c r="B3" s="30" t="s">
        <v>57</v>
      </c>
      <c r="C3" s="2" t="s">
        <v>58</v>
      </c>
      <c r="D3" s="38" t="s">
        <v>59</v>
      </c>
      <c r="E3" s="21">
        <v>24</v>
      </c>
      <c r="F3" s="21">
        <v>21</v>
      </c>
      <c r="G3" s="21">
        <v>43</v>
      </c>
      <c r="H3" s="21">
        <v>33</v>
      </c>
    </row>
    <row r="4" spans="1:8" x14ac:dyDescent="0.35">
      <c r="A4" s="10" t="s">
        <v>56</v>
      </c>
      <c r="B4" s="6" t="s">
        <v>60</v>
      </c>
      <c r="C4" s="3" t="s">
        <v>61</v>
      </c>
      <c r="D4" s="38" t="s">
        <v>62</v>
      </c>
      <c r="E4" s="21">
        <v>20</v>
      </c>
      <c r="F4" s="21">
        <v>20</v>
      </c>
      <c r="G4" s="22" t="s">
        <v>63</v>
      </c>
      <c r="H4" s="21" t="s">
        <v>63</v>
      </c>
    </row>
    <row r="5" spans="1:8" x14ac:dyDescent="0.35">
      <c r="A5" s="10" t="s">
        <v>56</v>
      </c>
      <c r="B5" s="6" t="s">
        <v>64</v>
      </c>
      <c r="C5" s="3" t="s">
        <v>65</v>
      </c>
      <c r="D5" s="38" t="s">
        <v>66</v>
      </c>
      <c r="E5" s="21" t="s">
        <v>63</v>
      </c>
      <c r="F5" s="21" t="s">
        <v>63</v>
      </c>
      <c r="G5" s="21" t="s">
        <v>63</v>
      </c>
      <c r="H5" s="21" t="s">
        <v>63</v>
      </c>
    </row>
    <row r="6" spans="1:8" x14ac:dyDescent="0.35">
      <c r="A6" s="10" t="s">
        <v>56</v>
      </c>
      <c r="B6" s="6" t="s">
        <v>60</v>
      </c>
      <c r="C6" s="3" t="s">
        <v>67</v>
      </c>
      <c r="D6" s="38" t="s">
        <v>68</v>
      </c>
      <c r="E6" s="21">
        <v>42</v>
      </c>
      <c r="F6" s="21">
        <v>40</v>
      </c>
      <c r="G6" s="21">
        <v>48</v>
      </c>
      <c r="H6" s="21">
        <v>29</v>
      </c>
    </row>
    <row r="7" spans="1:8" x14ac:dyDescent="0.35">
      <c r="A7" s="9" t="s">
        <v>69</v>
      </c>
      <c r="B7" s="6" t="s">
        <v>57</v>
      </c>
      <c r="C7" s="44"/>
      <c r="D7" s="3" t="s">
        <v>70</v>
      </c>
      <c r="E7" s="21" t="s">
        <v>63</v>
      </c>
      <c r="F7" s="21" t="s">
        <v>63</v>
      </c>
      <c r="G7" s="21">
        <v>57</v>
      </c>
      <c r="H7" s="21">
        <v>36</v>
      </c>
    </row>
    <row r="8" spans="1:8" x14ac:dyDescent="0.35">
      <c r="A8" s="9" t="s">
        <v>69</v>
      </c>
      <c r="B8" s="6" t="s">
        <v>57</v>
      </c>
      <c r="C8" s="44"/>
      <c r="D8" s="3" t="s">
        <v>71</v>
      </c>
      <c r="E8" s="21">
        <v>62</v>
      </c>
      <c r="F8" s="21">
        <v>57</v>
      </c>
      <c r="G8" s="21">
        <v>73</v>
      </c>
      <c r="H8" s="21">
        <v>51</v>
      </c>
    </row>
    <row r="9" spans="1:8" x14ac:dyDescent="0.35">
      <c r="A9" s="9" t="s">
        <v>69</v>
      </c>
      <c r="B9" s="6" t="s">
        <v>57</v>
      </c>
      <c r="C9" s="44"/>
      <c r="D9" s="3" t="s">
        <v>72</v>
      </c>
      <c r="E9" s="21" t="s">
        <v>63</v>
      </c>
      <c r="F9" s="21" t="s">
        <v>63</v>
      </c>
      <c r="G9" s="21" t="s">
        <v>63</v>
      </c>
      <c r="H9" s="21" t="s">
        <v>63</v>
      </c>
    </row>
    <row r="10" spans="1:8" x14ac:dyDescent="0.35">
      <c r="A10" s="9" t="s">
        <v>69</v>
      </c>
      <c r="B10" s="6" t="s">
        <v>57</v>
      </c>
      <c r="C10" s="44"/>
      <c r="D10" s="3" t="s">
        <v>73</v>
      </c>
      <c r="E10" s="21" t="s">
        <v>63</v>
      </c>
      <c r="F10" s="21" t="s">
        <v>63</v>
      </c>
      <c r="G10" s="21">
        <v>49</v>
      </c>
      <c r="H10" s="21">
        <v>28</v>
      </c>
    </row>
    <row r="11" spans="1:8" x14ac:dyDescent="0.35">
      <c r="A11" s="9" t="s">
        <v>69</v>
      </c>
      <c r="B11" s="6" t="s">
        <v>57</v>
      </c>
      <c r="C11" s="44"/>
      <c r="D11" s="3" t="s">
        <v>74</v>
      </c>
      <c r="E11" s="21" t="s">
        <v>63</v>
      </c>
      <c r="F11" s="21" t="s">
        <v>63</v>
      </c>
      <c r="G11" s="21" t="s">
        <v>63</v>
      </c>
      <c r="H11" s="21" t="s">
        <v>63</v>
      </c>
    </row>
    <row r="12" spans="1:8" x14ac:dyDescent="0.35">
      <c r="A12" s="9" t="s">
        <v>69</v>
      </c>
      <c r="B12" s="6" t="s">
        <v>75</v>
      </c>
      <c r="C12" s="44"/>
      <c r="D12" s="6" t="s">
        <v>76</v>
      </c>
      <c r="E12" s="21">
        <v>58</v>
      </c>
      <c r="F12" s="21">
        <v>57</v>
      </c>
      <c r="G12" s="21">
        <v>86</v>
      </c>
      <c r="H12" s="21">
        <v>58</v>
      </c>
    </row>
    <row r="13" spans="1:8" x14ac:dyDescent="0.35">
      <c r="A13" s="9" t="s">
        <v>69</v>
      </c>
      <c r="B13" s="6" t="s">
        <v>75</v>
      </c>
      <c r="C13" s="44"/>
      <c r="D13" s="6" t="s">
        <v>77</v>
      </c>
      <c r="E13" s="21" t="s">
        <v>63</v>
      </c>
      <c r="F13" s="21" t="s">
        <v>63</v>
      </c>
      <c r="G13" s="21">
        <v>32</v>
      </c>
      <c r="H13" s="21">
        <v>23</v>
      </c>
    </row>
    <row r="14" spans="1:8" x14ac:dyDescent="0.35">
      <c r="A14" s="9" t="s">
        <v>69</v>
      </c>
      <c r="B14" s="6" t="s">
        <v>75</v>
      </c>
      <c r="C14" s="44"/>
      <c r="D14" s="6" t="s">
        <v>78</v>
      </c>
      <c r="E14" s="21">
        <v>35</v>
      </c>
      <c r="F14" s="21">
        <v>34</v>
      </c>
      <c r="G14" s="21">
        <v>41</v>
      </c>
      <c r="H14" s="21">
        <v>30</v>
      </c>
    </row>
    <row r="15" spans="1:8" x14ac:dyDescent="0.35">
      <c r="A15" s="9" t="s">
        <v>69</v>
      </c>
      <c r="B15" s="6" t="s">
        <v>75</v>
      </c>
      <c r="C15" s="44"/>
      <c r="D15" s="6" t="s">
        <v>79</v>
      </c>
      <c r="E15" s="21" t="s">
        <v>63</v>
      </c>
      <c r="F15" s="21" t="s">
        <v>63</v>
      </c>
      <c r="G15" s="21">
        <v>47</v>
      </c>
      <c r="H15" s="21">
        <v>31</v>
      </c>
    </row>
    <row r="16" spans="1:8" x14ac:dyDescent="0.35">
      <c r="A16" s="10" t="s">
        <v>80</v>
      </c>
      <c r="B16" s="6" t="s">
        <v>81</v>
      </c>
      <c r="C16" s="45"/>
      <c r="D16" s="38" t="s">
        <v>82</v>
      </c>
      <c r="E16" s="21">
        <v>17</v>
      </c>
      <c r="F16" s="21">
        <v>17</v>
      </c>
      <c r="G16" s="21" t="s">
        <v>63</v>
      </c>
      <c r="H16" s="21" t="s">
        <v>63</v>
      </c>
    </row>
    <row r="17" spans="1:9" x14ac:dyDescent="0.35">
      <c r="A17" s="10" t="s">
        <v>80</v>
      </c>
      <c r="B17" s="6" t="s">
        <v>57</v>
      </c>
      <c r="C17" s="45"/>
      <c r="D17" s="38" t="s">
        <v>83</v>
      </c>
      <c r="E17" s="21">
        <v>31</v>
      </c>
      <c r="F17" s="21">
        <v>30</v>
      </c>
      <c r="G17" s="21" t="s">
        <v>63</v>
      </c>
      <c r="H17" s="21" t="s">
        <v>63</v>
      </c>
    </row>
    <row r="18" spans="1:9" x14ac:dyDescent="0.35">
      <c r="A18" s="10" t="s">
        <v>80</v>
      </c>
      <c r="B18" s="6" t="s">
        <v>57</v>
      </c>
      <c r="C18" s="45"/>
      <c r="D18" s="38" t="s">
        <v>84</v>
      </c>
      <c r="E18" s="21">
        <v>15</v>
      </c>
      <c r="F18" s="21">
        <v>13</v>
      </c>
      <c r="G18" s="21">
        <v>18</v>
      </c>
      <c r="H18" s="21">
        <v>18</v>
      </c>
    </row>
    <row r="19" spans="1:9" x14ac:dyDescent="0.35">
      <c r="A19" s="10" t="s">
        <v>80</v>
      </c>
      <c r="B19" s="6"/>
      <c r="C19" s="3" t="s">
        <v>85</v>
      </c>
      <c r="D19" s="38" t="s">
        <v>86</v>
      </c>
      <c r="E19" s="21" t="s">
        <v>63</v>
      </c>
      <c r="F19" s="21" t="s">
        <v>63</v>
      </c>
      <c r="G19" s="21">
        <v>34</v>
      </c>
      <c r="H19" s="21">
        <v>25</v>
      </c>
    </row>
    <row r="20" spans="1:9" x14ac:dyDescent="0.35">
      <c r="A20" s="10" t="s">
        <v>80</v>
      </c>
      <c r="B20" s="6" t="s">
        <v>75</v>
      </c>
      <c r="C20" s="44"/>
      <c r="D20" s="38" t="s">
        <v>87</v>
      </c>
      <c r="E20" s="21">
        <v>26</v>
      </c>
      <c r="F20" s="21">
        <v>26</v>
      </c>
      <c r="G20" s="21">
        <v>29</v>
      </c>
      <c r="H20" s="21">
        <v>23</v>
      </c>
    </row>
    <row r="21" spans="1:9" x14ac:dyDescent="0.35">
      <c r="A21" s="10" t="s">
        <v>80</v>
      </c>
      <c r="B21" s="6" t="s">
        <v>88</v>
      </c>
      <c r="C21" s="44"/>
      <c r="D21" s="38" t="s">
        <v>89</v>
      </c>
      <c r="E21" s="21">
        <v>11</v>
      </c>
      <c r="F21" s="21">
        <v>11</v>
      </c>
      <c r="G21" s="21" t="s">
        <v>63</v>
      </c>
      <c r="H21" s="21" t="s">
        <v>63</v>
      </c>
    </row>
    <row r="22" spans="1:9" x14ac:dyDescent="0.35">
      <c r="A22" s="10" t="s">
        <v>80</v>
      </c>
      <c r="B22" s="6" t="s">
        <v>88</v>
      </c>
      <c r="C22" s="44"/>
      <c r="D22" s="38" t="s">
        <v>90</v>
      </c>
      <c r="E22" s="21" t="s">
        <v>63</v>
      </c>
      <c r="F22" s="21" t="s">
        <v>63</v>
      </c>
      <c r="G22" s="21" t="s">
        <v>63</v>
      </c>
      <c r="H22" s="21" t="s">
        <v>63</v>
      </c>
    </row>
    <row r="23" spans="1:9" x14ac:dyDescent="0.35">
      <c r="A23" s="10" t="s">
        <v>80</v>
      </c>
      <c r="B23" s="6" t="s">
        <v>91</v>
      </c>
      <c r="C23" s="44"/>
      <c r="D23" s="38" t="s">
        <v>92</v>
      </c>
      <c r="E23" s="21" t="s">
        <v>63</v>
      </c>
      <c r="F23" s="21" t="s">
        <v>63</v>
      </c>
      <c r="G23" s="21" t="s">
        <v>63</v>
      </c>
      <c r="H23" s="21" t="s">
        <v>63</v>
      </c>
    </row>
    <row r="24" spans="1:9" x14ac:dyDescent="0.35">
      <c r="A24" s="10" t="s">
        <v>80</v>
      </c>
      <c r="B24" s="6" t="s">
        <v>93</v>
      </c>
      <c r="C24" s="44"/>
      <c r="D24" s="38" t="s">
        <v>94</v>
      </c>
      <c r="E24" s="21">
        <v>18</v>
      </c>
      <c r="F24" s="21">
        <v>16</v>
      </c>
      <c r="G24" s="21" t="s">
        <v>63</v>
      </c>
      <c r="H24" s="21" t="s">
        <v>63</v>
      </c>
    </row>
    <row r="25" spans="1:9" x14ac:dyDescent="0.35">
      <c r="A25" s="10" t="s">
        <v>80</v>
      </c>
      <c r="B25" s="6" t="s">
        <v>95</v>
      </c>
      <c r="C25" s="44"/>
      <c r="D25" s="38" t="s">
        <v>96</v>
      </c>
      <c r="E25" s="21" t="s">
        <v>63</v>
      </c>
      <c r="F25" s="21" t="s">
        <v>63</v>
      </c>
      <c r="G25" s="21" t="s">
        <v>63</v>
      </c>
      <c r="H25" s="21" t="s">
        <v>63</v>
      </c>
      <c r="I25" s="21" t="s">
        <v>97</v>
      </c>
    </row>
    <row r="26" spans="1:9" x14ac:dyDescent="0.35">
      <c r="A26" s="10" t="s">
        <v>80</v>
      </c>
      <c r="B26" s="6" t="s">
        <v>60</v>
      </c>
      <c r="C26" s="44"/>
      <c r="D26" s="38" t="s">
        <v>98</v>
      </c>
      <c r="E26" s="21">
        <v>3</v>
      </c>
      <c r="F26" s="21">
        <v>3</v>
      </c>
      <c r="G26" s="21" t="s">
        <v>63</v>
      </c>
      <c r="H26" s="21" t="s">
        <v>63</v>
      </c>
    </row>
    <row r="27" spans="1:9" x14ac:dyDescent="0.35">
      <c r="A27" s="9" t="s">
        <v>80</v>
      </c>
      <c r="B27" s="31" t="s">
        <v>99</v>
      </c>
      <c r="C27" s="6" t="s">
        <v>99</v>
      </c>
      <c r="D27" s="42"/>
      <c r="E27" s="23"/>
      <c r="F27" s="23"/>
      <c r="G27" s="23"/>
      <c r="H27" s="23"/>
    </row>
    <row r="28" spans="1:9" x14ac:dyDescent="0.35">
      <c r="A28" s="9" t="s">
        <v>80</v>
      </c>
      <c r="B28" s="31" t="s">
        <v>100</v>
      </c>
      <c r="C28" s="6" t="s">
        <v>100</v>
      </c>
      <c r="D28" s="42"/>
      <c r="E28" s="23"/>
      <c r="F28" s="23"/>
      <c r="G28" s="23"/>
      <c r="H28" s="23"/>
    </row>
    <row r="29" spans="1:9" x14ac:dyDescent="0.35">
      <c r="A29" s="9" t="s">
        <v>80</v>
      </c>
      <c r="B29" s="31" t="s">
        <v>101</v>
      </c>
      <c r="C29" s="6" t="s">
        <v>101</v>
      </c>
      <c r="D29" s="42"/>
      <c r="E29" s="23"/>
      <c r="F29" s="23"/>
      <c r="G29" s="23"/>
      <c r="H29" s="23"/>
    </row>
    <row r="30" spans="1:9" x14ac:dyDescent="0.35">
      <c r="A30" s="9" t="s">
        <v>80</v>
      </c>
      <c r="B30" s="31" t="s">
        <v>102</v>
      </c>
      <c r="C30" s="6" t="s">
        <v>102</v>
      </c>
      <c r="D30" s="42"/>
      <c r="E30" s="23"/>
      <c r="F30" s="23"/>
      <c r="G30" s="23"/>
      <c r="H30" s="23"/>
    </row>
    <row r="31" spans="1:9" x14ac:dyDescent="0.35">
      <c r="A31" s="9" t="s">
        <v>80</v>
      </c>
      <c r="B31" s="31" t="s">
        <v>103</v>
      </c>
      <c r="C31" s="6" t="s">
        <v>103</v>
      </c>
      <c r="D31" s="42"/>
      <c r="E31" s="23"/>
      <c r="F31" s="23"/>
      <c r="G31" s="23"/>
      <c r="H31" s="23"/>
    </row>
    <row r="32" spans="1:9" x14ac:dyDescent="0.35">
      <c r="A32" s="9" t="s">
        <v>80</v>
      </c>
      <c r="B32" s="31" t="s">
        <v>104</v>
      </c>
      <c r="C32" s="6" t="s">
        <v>104</v>
      </c>
      <c r="D32" s="38" t="s">
        <v>105</v>
      </c>
      <c r="E32" s="21">
        <v>11</v>
      </c>
      <c r="F32" s="21">
        <v>11</v>
      </c>
      <c r="G32" s="21" t="s">
        <v>63</v>
      </c>
      <c r="H32" s="21" t="s">
        <v>63</v>
      </c>
    </row>
    <row r="33" spans="1:8" x14ac:dyDescent="0.35">
      <c r="A33" s="10" t="s">
        <v>80</v>
      </c>
      <c r="B33" s="6" t="s">
        <v>104</v>
      </c>
      <c r="C33" s="31"/>
      <c r="D33" s="38" t="s">
        <v>106</v>
      </c>
      <c r="E33" s="21" t="s">
        <v>63</v>
      </c>
      <c r="F33" s="21" t="s">
        <v>63</v>
      </c>
      <c r="G33" s="21" t="s">
        <v>63</v>
      </c>
      <c r="H33" s="21" t="s">
        <v>63</v>
      </c>
    </row>
    <row r="34" spans="1:8" x14ac:dyDescent="0.35">
      <c r="A34" s="10" t="s">
        <v>107</v>
      </c>
      <c r="B34" s="30" t="s">
        <v>57</v>
      </c>
      <c r="C34" s="2" t="s">
        <v>108</v>
      </c>
      <c r="D34" s="38" t="s">
        <v>109</v>
      </c>
      <c r="E34" s="21">
        <v>12</v>
      </c>
      <c r="F34" s="21">
        <v>12</v>
      </c>
      <c r="G34" s="21" t="s">
        <v>63</v>
      </c>
      <c r="H34" s="21" t="s">
        <v>63</v>
      </c>
    </row>
    <row r="35" spans="1:8" x14ac:dyDescent="0.35">
      <c r="A35" s="10" t="s">
        <v>107</v>
      </c>
      <c r="B35" s="30" t="s">
        <v>57</v>
      </c>
      <c r="C35" s="2" t="s">
        <v>110</v>
      </c>
      <c r="D35" s="38" t="s">
        <v>111</v>
      </c>
      <c r="E35" s="21">
        <v>20</v>
      </c>
      <c r="F35" s="21">
        <v>19</v>
      </c>
      <c r="G35" s="21" t="s">
        <v>63</v>
      </c>
      <c r="H35" s="21" t="s">
        <v>63</v>
      </c>
    </row>
    <row r="36" spans="1:8" x14ac:dyDescent="0.35">
      <c r="A36" s="10" t="s">
        <v>107</v>
      </c>
      <c r="B36" s="30" t="s">
        <v>112</v>
      </c>
      <c r="C36" s="2" t="s">
        <v>113</v>
      </c>
      <c r="D36" s="38" t="s">
        <v>114</v>
      </c>
      <c r="E36" s="21">
        <v>37</v>
      </c>
      <c r="F36" s="21">
        <v>35</v>
      </c>
      <c r="G36" s="21">
        <v>44</v>
      </c>
      <c r="H36" s="21">
        <v>30</v>
      </c>
    </row>
    <row r="37" spans="1:8" x14ac:dyDescent="0.35">
      <c r="A37" s="10" t="s">
        <v>107</v>
      </c>
      <c r="B37" s="30" t="s">
        <v>60</v>
      </c>
      <c r="C37" s="2" t="s">
        <v>115</v>
      </c>
      <c r="D37" s="38" t="s">
        <v>116</v>
      </c>
      <c r="E37" s="21" t="s">
        <v>63</v>
      </c>
      <c r="F37" s="21" t="s">
        <v>63</v>
      </c>
      <c r="G37" s="21" t="s">
        <v>63</v>
      </c>
      <c r="H37" s="21" t="s">
        <v>63</v>
      </c>
    </row>
    <row r="38" spans="1:8" x14ac:dyDescent="0.35">
      <c r="A38" s="10" t="s">
        <v>107</v>
      </c>
      <c r="B38" s="30" t="s">
        <v>102</v>
      </c>
      <c r="C38" s="2" t="s">
        <v>117</v>
      </c>
      <c r="D38" s="38" t="s">
        <v>118</v>
      </c>
      <c r="E38" s="21">
        <v>8</v>
      </c>
      <c r="F38" s="21">
        <v>8</v>
      </c>
      <c r="G38" s="21">
        <v>10</v>
      </c>
      <c r="H38" s="21">
        <v>7</v>
      </c>
    </row>
    <row r="39" spans="1:8" x14ac:dyDescent="0.35">
      <c r="A39" s="10" t="s">
        <v>107</v>
      </c>
      <c r="B39" s="30" t="s">
        <v>88</v>
      </c>
      <c r="C39" s="2" t="s">
        <v>119</v>
      </c>
      <c r="D39" s="38" t="s">
        <v>120</v>
      </c>
      <c r="E39" s="21">
        <v>8</v>
      </c>
      <c r="F39" s="21">
        <v>7</v>
      </c>
      <c r="G39" s="21" t="s">
        <v>63</v>
      </c>
      <c r="H39" s="21" t="s">
        <v>63</v>
      </c>
    </row>
    <row r="40" spans="1:8" x14ac:dyDescent="0.35">
      <c r="A40" s="10" t="s">
        <v>107</v>
      </c>
      <c r="B40" s="30" t="s">
        <v>93</v>
      </c>
      <c r="C40" s="2" t="s">
        <v>121</v>
      </c>
      <c r="D40" s="38" t="s">
        <v>122</v>
      </c>
      <c r="E40" s="21">
        <v>10</v>
      </c>
      <c r="F40" s="21">
        <v>10</v>
      </c>
      <c r="G40" s="21" t="s">
        <v>63</v>
      </c>
      <c r="H40" s="21" t="s">
        <v>63</v>
      </c>
    </row>
    <row r="41" spans="1:8" x14ac:dyDescent="0.35">
      <c r="A41" s="10" t="s">
        <v>123</v>
      </c>
      <c r="B41" s="30" t="s">
        <v>112</v>
      </c>
      <c r="C41" s="2" t="s">
        <v>124</v>
      </c>
      <c r="D41" s="38" t="s">
        <v>125</v>
      </c>
      <c r="E41" s="21">
        <v>16</v>
      </c>
      <c r="F41" s="21">
        <v>16</v>
      </c>
      <c r="G41" s="21" t="s">
        <v>63</v>
      </c>
      <c r="H41" s="21" t="s">
        <v>63</v>
      </c>
    </row>
    <row r="42" spans="1:8" x14ac:dyDescent="0.35">
      <c r="A42" s="10" t="s">
        <v>123</v>
      </c>
      <c r="B42" s="30" t="s">
        <v>112</v>
      </c>
      <c r="C42" s="2" t="s">
        <v>126</v>
      </c>
      <c r="D42" s="38" t="s">
        <v>127</v>
      </c>
      <c r="E42" s="21">
        <v>27</v>
      </c>
      <c r="F42" s="21">
        <v>26</v>
      </c>
      <c r="G42" s="21">
        <v>35</v>
      </c>
      <c r="H42" s="21">
        <v>29</v>
      </c>
    </row>
    <row r="43" spans="1:8" x14ac:dyDescent="0.35">
      <c r="A43" s="10" t="s">
        <v>123</v>
      </c>
      <c r="B43" s="30" t="s">
        <v>128</v>
      </c>
      <c r="C43" s="2" t="s">
        <v>129</v>
      </c>
      <c r="D43" s="38" t="s">
        <v>130</v>
      </c>
      <c r="E43" s="21">
        <v>35</v>
      </c>
      <c r="F43" s="21">
        <v>33</v>
      </c>
      <c r="G43" s="21">
        <v>49</v>
      </c>
      <c r="H43" s="21">
        <v>34</v>
      </c>
    </row>
    <row r="44" spans="1:8" x14ac:dyDescent="0.35">
      <c r="A44" s="10" t="s">
        <v>131</v>
      </c>
      <c r="B44" s="30" t="s">
        <v>112</v>
      </c>
      <c r="C44" s="2" t="s">
        <v>132</v>
      </c>
      <c r="D44" s="38" t="s">
        <v>133</v>
      </c>
      <c r="E44" s="21" t="s">
        <v>63</v>
      </c>
      <c r="F44" s="21" t="s">
        <v>63</v>
      </c>
      <c r="G44" s="21" t="s">
        <v>63</v>
      </c>
      <c r="H44" s="21" t="s">
        <v>63</v>
      </c>
    </row>
    <row r="45" spans="1:8" x14ac:dyDescent="0.35">
      <c r="A45" s="10" t="s">
        <v>131</v>
      </c>
      <c r="B45" s="30" t="s">
        <v>100</v>
      </c>
      <c r="C45" s="2" t="s">
        <v>134</v>
      </c>
      <c r="D45" s="38" t="s">
        <v>135</v>
      </c>
      <c r="E45" s="21">
        <v>4</v>
      </c>
      <c r="F45" s="21">
        <v>4</v>
      </c>
      <c r="G45" s="21" t="s">
        <v>63</v>
      </c>
      <c r="H45" s="21" t="s">
        <v>63</v>
      </c>
    </row>
    <row r="46" spans="1:8" x14ac:dyDescent="0.35">
      <c r="A46" s="10" t="s">
        <v>131</v>
      </c>
      <c r="B46" s="30" t="s">
        <v>93</v>
      </c>
      <c r="C46" s="2" t="s">
        <v>136</v>
      </c>
      <c r="D46" s="38" t="s">
        <v>137</v>
      </c>
      <c r="E46" s="21">
        <v>36</v>
      </c>
      <c r="F46" s="21">
        <v>34</v>
      </c>
      <c r="G46" s="21">
        <v>42</v>
      </c>
      <c r="H46" s="21">
        <v>25</v>
      </c>
    </row>
    <row r="47" spans="1:8" x14ac:dyDescent="0.35">
      <c r="A47" s="11" t="s">
        <v>138</v>
      </c>
      <c r="B47" t="s">
        <v>57</v>
      </c>
      <c r="C47" s="44"/>
      <c r="D47" t="s">
        <v>139</v>
      </c>
      <c r="E47" s="21">
        <v>83</v>
      </c>
      <c r="F47" s="21">
        <v>81</v>
      </c>
      <c r="G47" s="21" t="s">
        <v>63</v>
      </c>
      <c r="H47" s="21" t="s">
        <v>63</v>
      </c>
    </row>
    <row r="48" spans="1:8" x14ac:dyDescent="0.35">
      <c r="A48" s="11" t="s">
        <v>138</v>
      </c>
      <c r="B48" t="s">
        <v>57</v>
      </c>
      <c r="C48" s="49"/>
      <c r="D48" t="s">
        <v>140</v>
      </c>
      <c r="E48" s="21">
        <v>62</v>
      </c>
      <c r="F48" s="21">
        <v>58</v>
      </c>
      <c r="G48" s="21">
        <v>71</v>
      </c>
      <c r="H48" s="21">
        <v>52</v>
      </c>
    </row>
    <row r="49" spans="1:8" x14ac:dyDescent="0.35">
      <c r="A49" s="11" t="s">
        <v>138</v>
      </c>
      <c r="B49" t="s">
        <v>57</v>
      </c>
      <c r="C49" s="49"/>
      <c r="D49" t="s">
        <v>141</v>
      </c>
      <c r="E49" s="21">
        <v>67</v>
      </c>
      <c r="F49" s="21">
        <v>64</v>
      </c>
      <c r="G49" s="21">
        <v>80</v>
      </c>
      <c r="H49" s="21">
        <v>66</v>
      </c>
    </row>
    <row r="50" spans="1:8" x14ac:dyDescent="0.35">
      <c r="A50" s="11" t="s">
        <v>138</v>
      </c>
      <c r="B50" t="s">
        <v>57</v>
      </c>
      <c r="C50" s="49"/>
      <c r="D50" t="s">
        <v>142</v>
      </c>
      <c r="E50" s="21">
        <v>23</v>
      </c>
      <c r="F50" s="21">
        <v>18</v>
      </c>
      <c r="G50" s="21">
        <v>24</v>
      </c>
      <c r="H50" s="21">
        <v>21</v>
      </c>
    </row>
    <row r="51" spans="1:8" x14ac:dyDescent="0.35">
      <c r="A51" s="11" t="s">
        <v>138</v>
      </c>
      <c r="B51" t="s">
        <v>57</v>
      </c>
      <c r="C51" s="49"/>
      <c r="D51" t="s">
        <v>143</v>
      </c>
      <c r="E51" s="21">
        <v>36</v>
      </c>
      <c r="F51" s="21">
        <v>34</v>
      </c>
      <c r="G51" s="21">
        <v>43</v>
      </c>
      <c r="H51" s="21">
        <v>25</v>
      </c>
    </row>
    <row r="52" spans="1:8" x14ac:dyDescent="0.35">
      <c r="A52" s="11" t="s">
        <v>138</v>
      </c>
      <c r="B52" t="s">
        <v>57</v>
      </c>
      <c r="C52" s="49"/>
      <c r="D52" t="s">
        <v>144</v>
      </c>
      <c r="E52" s="21">
        <v>54</v>
      </c>
      <c r="F52" s="21">
        <v>52</v>
      </c>
      <c r="G52" s="21">
        <v>60</v>
      </c>
      <c r="H52" s="21">
        <v>51</v>
      </c>
    </row>
    <row r="53" spans="1:8" x14ac:dyDescent="0.35">
      <c r="A53" s="50" t="s">
        <v>138</v>
      </c>
      <c r="B53" s="51" t="s">
        <v>57</v>
      </c>
      <c r="C53" s="51"/>
      <c r="D53" s="51" t="s">
        <v>145</v>
      </c>
      <c r="E53" s="52">
        <v>18</v>
      </c>
      <c r="F53" s="52">
        <v>18</v>
      </c>
      <c r="G53" s="21">
        <v>23</v>
      </c>
      <c r="H53" s="21">
        <v>19</v>
      </c>
    </row>
    <row r="54" spans="1:8" x14ac:dyDescent="0.35">
      <c r="A54" s="11" t="s">
        <v>138</v>
      </c>
      <c r="B54" t="s">
        <v>57</v>
      </c>
      <c r="C54" s="49"/>
      <c r="D54" t="s">
        <v>146</v>
      </c>
      <c r="E54" s="21">
        <v>27</v>
      </c>
      <c r="F54" s="21">
        <v>22</v>
      </c>
      <c r="G54" s="21">
        <v>32</v>
      </c>
      <c r="H54" s="21">
        <v>28</v>
      </c>
    </row>
    <row r="55" spans="1:8" x14ac:dyDescent="0.35">
      <c r="A55" s="11" t="s">
        <v>138</v>
      </c>
      <c r="B55" t="s">
        <v>147</v>
      </c>
      <c r="C55" s="49"/>
      <c r="D55" t="s">
        <v>148</v>
      </c>
      <c r="E55" s="21">
        <v>11</v>
      </c>
      <c r="F55" s="21">
        <v>10</v>
      </c>
      <c r="G55" s="21" t="s">
        <v>63</v>
      </c>
      <c r="H55" s="21" t="s">
        <v>63</v>
      </c>
    </row>
    <row r="56" spans="1:8" x14ac:dyDescent="0.35">
      <c r="A56" s="11" t="s">
        <v>138</v>
      </c>
      <c r="B56" t="s">
        <v>147</v>
      </c>
      <c r="C56" s="49"/>
      <c r="D56" t="s">
        <v>149</v>
      </c>
      <c r="E56" s="21">
        <v>12</v>
      </c>
      <c r="F56" s="21">
        <v>12</v>
      </c>
      <c r="G56" s="21" t="s">
        <v>63</v>
      </c>
      <c r="H56" s="21" t="s">
        <v>63</v>
      </c>
    </row>
    <row r="57" spans="1:8" x14ac:dyDescent="0.35">
      <c r="A57" s="11" t="s">
        <v>138</v>
      </c>
      <c r="B57" t="s">
        <v>147</v>
      </c>
      <c r="C57" s="49"/>
      <c r="D57" t="s">
        <v>150</v>
      </c>
      <c r="E57" s="21">
        <v>16</v>
      </c>
      <c r="F57" s="21">
        <v>15</v>
      </c>
      <c r="G57" s="21" t="s">
        <v>63</v>
      </c>
      <c r="H57" s="21" t="s">
        <v>63</v>
      </c>
    </row>
    <row r="58" spans="1:8" x14ac:dyDescent="0.35">
      <c r="A58" s="11" t="s">
        <v>138</v>
      </c>
      <c r="B58" t="s">
        <v>147</v>
      </c>
      <c r="C58" s="49"/>
      <c r="D58" t="s">
        <v>151</v>
      </c>
      <c r="E58" s="21" t="s">
        <v>63</v>
      </c>
      <c r="F58" s="21" t="s">
        <v>63</v>
      </c>
      <c r="G58" s="21" t="s">
        <v>63</v>
      </c>
      <c r="H58" s="21" t="s">
        <v>63</v>
      </c>
    </row>
    <row r="59" spans="1:8" x14ac:dyDescent="0.35">
      <c r="A59" s="11" t="s">
        <v>138</v>
      </c>
      <c r="B59" t="s">
        <v>147</v>
      </c>
      <c r="C59" s="49"/>
      <c r="D59" t="s">
        <v>152</v>
      </c>
      <c r="E59" s="21">
        <v>47</v>
      </c>
      <c r="F59" s="21">
        <v>46</v>
      </c>
      <c r="G59" s="21">
        <v>53</v>
      </c>
      <c r="H59" s="21">
        <v>39</v>
      </c>
    </row>
    <row r="60" spans="1:8" x14ac:dyDescent="0.35">
      <c r="A60" s="11" t="s">
        <v>138</v>
      </c>
      <c r="B60" t="s">
        <v>153</v>
      </c>
      <c r="C60" s="49"/>
      <c r="D60" t="s">
        <v>154</v>
      </c>
      <c r="E60" s="21">
        <v>19</v>
      </c>
      <c r="F60" s="21">
        <v>18</v>
      </c>
      <c r="G60" s="21" t="s">
        <v>63</v>
      </c>
      <c r="H60" s="21" t="s">
        <v>63</v>
      </c>
    </row>
    <row r="61" spans="1:8" x14ac:dyDescent="0.35">
      <c r="A61" s="11" t="s">
        <v>138</v>
      </c>
      <c r="B61" t="s">
        <v>153</v>
      </c>
      <c r="C61" s="49"/>
      <c r="D61" t="s">
        <v>155</v>
      </c>
      <c r="E61" s="21">
        <v>26</v>
      </c>
      <c r="F61" s="21">
        <v>23</v>
      </c>
      <c r="G61" s="21">
        <v>29</v>
      </c>
      <c r="H61" s="21">
        <v>24</v>
      </c>
    </row>
    <row r="62" spans="1:8" x14ac:dyDescent="0.35">
      <c r="A62" s="11" t="s">
        <v>138</v>
      </c>
      <c r="B62" t="s">
        <v>153</v>
      </c>
      <c r="C62" s="49"/>
      <c r="D62" t="s">
        <v>156</v>
      </c>
      <c r="E62" s="21">
        <v>6</v>
      </c>
      <c r="F62" s="21">
        <v>6</v>
      </c>
      <c r="G62" s="21">
        <v>6</v>
      </c>
      <c r="H62" s="21">
        <v>5</v>
      </c>
    </row>
    <row r="63" spans="1:8" x14ac:dyDescent="0.35">
      <c r="A63" s="11" t="s">
        <v>138</v>
      </c>
      <c r="B63" t="s">
        <v>157</v>
      </c>
      <c r="C63" s="49"/>
      <c r="D63" t="s">
        <v>158</v>
      </c>
      <c r="E63" s="21">
        <v>3</v>
      </c>
      <c r="F63" s="21">
        <v>2</v>
      </c>
      <c r="G63" s="21" t="s">
        <v>63</v>
      </c>
      <c r="H63" s="21" t="s">
        <v>63</v>
      </c>
    </row>
    <row r="64" spans="1:8" x14ac:dyDescent="0.35">
      <c r="A64" s="11" t="s">
        <v>138</v>
      </c>
      <c r="B64" t="s">
        <v>157</v>
      </c>
      <c r="C64" s="49"/>
      <c r="D64" t="s">
        <v>159</v>
      </c>
      <c r="E64" s="21">
        <v>10</v>
      </c>
      <c r="F64" s="21">
        <v>10</v>
      </c>
      <c r="G64" s="21" t="s">
        <v>63</v>
      </c>
      <c r="H64" s="21" t="s">
        <v>63</v>
      </c>
    </row>
    <row r="65" spans="1:8" x14ac:dyDescent="0.35">
      <c r="A65" s="11" t="s">
        <v>138</v>
      </c>
      <c r="B65" t="s">
        <v>157</v>
      </c>
      <c r="C65" s="49"/>
      <c r="D65" t="s">
        <v>160</v>
      </c>
      <c r="E65" s="21">
        <v>4</v>
      </c>
      <c r="F65" s="21">
        <v>4</v>
      </c>
      <c r="G65" s="21" t="s">
        <v>63</v>
      </c>
      <c r="H65" s="21" t="s">
        <v>63</v>
      </c>
    </row>
    <row r="66" spans="1:8" x14ac:dyDescent="0.35">
      <c r="A66" s="12" t="s">
        <v>161</v>
      </c>
      <c r="B66" s="32"/>
      <c r="C66" s="7"/>
      <c r="D66" s="41"/>
      <c r="E66" s="26"/>
      <c r="F66" s="26"/>
      <c r="G66" s="26"/>
      <c r="H66" s="26"/>
    </row>
    <row r="67" spans="1:8" x14ac:dyDescent="0.35">
      <c r="A67" s="10" t="s">
        <v>162</v>
      </c>
      <c r="B67" s="2" t="s">
        <v>163</v>
      </c>
      <c r="C67" s="31"/>
      <c r="D67" s="42"/>
      <c r="E67" s="23"/>
      <c r="F67" s="23"/>
      <c r="G67" s="23"/>
      <c r="H67" s="23"/>
    </row>
    <row r="68" spans="1:8" x14ac:dyDescent="0.35">
      <c r="A68" s="10" t="s">
        <v>162</v>
      </c>
      <c r="B68" s="2" t="s">
        <v>93</v>
      </c>
      <c r="C68" s="31"/>
      <c r="D68" s="42"/>
      <c r="E68" s="23"/>
      <c r="F68" s="23"/>
      <c r="G68" s="23"/>
      <c r="H68" s="23"/>
    </row>
    <row r="69" spans="1:8" x14ac:dyDescent="0.35">
      <c r="A69" s="10" t="s">
        <v>164</v>
      </c>
      <c r="B69" s="30" t="s">
        <v>60</v>
      </c>
      <c r="C69" s="25"/>
      <c r="D69" s="38" t="s">
        <v>165</v>
      </c>
      <c r="E69" s="21" t="s">
        <v>63</v>
      </c>
      <c r="F69" s="21" t="s">
        <v>63</v>
      </c>
      <c r="G69" s="21" t="s">
        <v>63</v>
      </c>
      <c r="H69" s="21" t="s">
        <v>63</v>
      </c>
    </row>
    <row r="70" spans="1:8" x14ac:dyDescent="0.35">
      <c r="A70" s="10" t="s">
        <v>164</v>
      </c>
      <c r="B70" s="30" t="s">
        <v>57</v>
      </c>
      <c r="C70" s="2" t="s">
        <v>166</v>
      </c>
      <c r="D70" s="38" t="s">
        <v>167</v>
      </c>
      <c r="E70" s="21">
        <v>18</v>
      </c>
      <c r="F70" s="21">
        <v>15</v>
      </c>
      <c r="G70" s="21">
        <v>20</v>
      </c>
      <c r="H70" s="21">
        <v>15</v>
      </c>
    </row>
    <row r="71" spans="1:8" x14ac:dyDescent="0.35">
      <c r="A71" s="10" t="s">
        <v>164</v>
      </c>
      <c r="B71" s="30"/>
      <c r="C71" s="2" t="s">
        <v>168</v>
      </c>
      <c r="D71" s="38" t="s">
        <v>84</v>
      </c>
      <c r="E71" s="21">
        <v>15</v>
      </c>
      <c r="F71" s="21">
        <v>13</v>
      </c>
      <c r="G71" s="21">
        <v>18</v>
      </c>
      <c r="H71" s="21">
        <v>18</v>
      </c>
    </row>
    <row r="72" spans="1:8" x14ac:dyDescent="0.35">
      <c r="A72" s="10" t="s">
        <v>164</v>
      </c>
      <c r="B72" s="30" t="s">
        <v>169</v>
      </c>
      <c r="C72" s="2" t="s">
        <v>169</v>
      </c>
      <c r="D72" s="38" t="s">
        <v>170</v>
      </c>
      <c r="E72" s="21">
        <v>4</v>
      </c>
      <c r="F72" s="21">
        <v>4</v>
      </c>
      <c r="G72" s="21" t="s">
        <v>63</v>
      </c>
      <c r="H72" s="21" t="s">
        <v>63</v>
      </c>
    </row>
    <row r="73" spans="1:8" x14ac:dyDescent="0.35">
      <c r="A73" s="10" t="s">
        <v>164</v>
      </c>
      <c r="B73" s="30" t="s">
        <v>171</v>
      </c>
      <c r="C73" s="25"/>
      <c r="D73" s="38" t="s">
        <v>172</v>
      </c>
      <c r="E73" s="21" t="s">
        <v>63</v>
      </c>
      <c r="F73" s="21" t="s">
        <v>63</v>
      </c>
      <c r="G73" s="21" t="s">
        <v>63</v>
      </c>
      <c r="H73" s="21" t="s">
        <v>63</v>
      </c>
    </row>
    <row r="74" spans="1:8" x14ac:dyDescent="0.35">
      <c r="A74" s="10" t="s">
        <v>173</v>
      </c>
      <c r="B74" s="30" t="s">
        <v>60</v>
      </c>
      <c r="C74" s="2" t="s">
        <v>174</v>
      </c>
      <c r="D74" s="38" t="s">
        <v>175</v>
      </c>
      <c r="E74" s="21" t="s">
        <v>63</v>
      </c>
      <c r="F74" s="21" t="s">
        <v>63</v>
      </c>
      <c r="G74" s="21">
        <v>8</v>
      </c>
      <c r="H74" s="21">
        <v>8</v>
      </c>
    </row>
    <row r="75" spans="1:8" x14ac:dyDescent="0.35">
      <c r="A75" s="10" t="s">
        <v>173</v>
      </c>
      <c r="B75" s="30" t="s">
        <v>57</v>
      </c>
      <c r="C75" s="2" t="s">
        <v>176</v>
      </c>
      <c r="D75" s="38" t="s">
        <v>177</v>
      </c>
      <c r="E75" s="21" t="s">
        <v>63</v>
      </c>
      <c r="F75" s="21" t="s">
        <v>63</v>
      </c>
      <c r="G75" s="21" t="s">
        <v>63</v>
      </c>
      <c r="H75" s="21" t="s">
        <v>63</v>
      </c>
    </row>
    <row r="76" spans="1:8" x14ac:dyDescent="0.35">
      <c r="A76" s="10" t="s">
        <v>173</v>
      </c>
      <c r="B76" s="30" t="s">
        <v>178</v>
      </c>
      <c r="C76" s="2" t="s">
        <v>179</v>
      </c>
      <c r="D76" s="38" t="s">
        <v>180</v>
      </c>
      <c r="E76" s="21" t="s">
        <v>63</v>
      </c>
      <c r="F76" s="21" t="s">
        <v>63</v>
      </c>
      <c r="G76" s="21" t="s">
        <v>63</v>
      </c>
      <c r="H76" s="21" t="s">
        <v>63</v>
      </c>
    </row>
    <row r="77" spans="1:8" x14ac:dyDescent="0.35">
      <c r="A77" s="10" t="s">
        <v>173</v>
      </c>
      <c r="B77" s="30" t="s">
        <v>178</v>
      </c>
      <c r="C77" s="25"/>
      <c r="D77" s="38" t="s">
        <v>181</v>
      </c>
      <c r="E77" s="21" t="s">
        <v>63</v>
      </c>
      <c r="F77" s="21" t="s">
        <v>63</v>
      </c>
      <c r="G77" s="21" t="s">
        <v>63</v>
      </c>
      <c r="H77" s="21" t="s">
        <v>63</v>
      </c>
    </row>
    <row r="78" spans="1:8" x14ac:dyDescent="0.35">
      <c r="A78" s="10" t="s">
        <v>173</v>
      </c>
      <c r="B78" s="30" t="s">
        <v>182</v>
      </c>
      <c r="C78" s="25"/>
      <c r="D78" s="38" t="s">
        <v>183</v>
      </c>
      <c r="E78" s="21">
        <v>24</v>
      </c>
      <c r="F78" s="21">
        <v>21</v>
      </c>
      <c r="G78" s="21">
        <v>27</v>
      </c>
      <c r="H78" s="21">
        <v>20</v>
      </c>
    </row>
    <row r="79" spans="1:8" x14ac:dyDescent="0.35">
      <c r="A79" s="10" t="s">
        <v>173</v>
      </c>
      <c r="B79" s="30" t="s">
        <v>184</v>
      </c>
      <c r="C79" s="2" t="s">
        <v>185</v>
      </c>
      <c r="D79" s="38" t="s">
        <v>186</v>
      </c>
      <c r="E79" s="21" t="s">
        <v>63</v>
      </c>
      <c r="F79" s="21" t="s">
        <v>63</v>
      </c>
      <c r="G79" s="21">
        <v>38</v>
      </c>
      <c r="H79" s="21">
        <v>29</v>
      </c>
    </row>
    <row r="80" spans="1:8" x14ac:dyDescent="0.35">
      <c r="A80" s="10" t="s">
        <v>173</v>
      </c>
      <c r="B80" s="30" t="s">
        <v>88</v>
      </c>
      <c r="C80" s="25"/>
      <c r="D80" s="38" t="s">
        <v>187</v>
      </c>
      <c r="E80" s="21">
        <v>26</v>
      </c>
      <c r="F80" s="21">
        <v>25</v>
      </c>
      <c r="G80" s="21">
        <v>27</v>
      </c>
      <c r="H80" s="21">
        <v>17</v>
      </c>
    </row>
    <row r="81" spans="1:8" x14ac:dyDescent="0.35">
      <c r="A81" s="10" t="s">
        <v>173</v>
      </c>
      <c r="B81" s="30" t="s">
        <v>88</v>
      </c>
      <c r="C81" s="25"/>
      <c r="D81" s="38" t="s">
        <v>188</v>
      </c>
      <c r="E81" s="21">
        <v>32</v>
      </c>
      <c r="F81" s="21">
        <v>29</v>
      </c>
      <c r="G81" s="21" t="s">
        <v>63</v>
      </c>
      <c r="H81" s="21" t="s">
        <v>63</v>
      </c>
    </row>
    <row r="82" spans="1:8" x14ac:dyDescent="0.35">
      <c r="A82" s="10" t="s">
        <v>173</v>
      </c>
      <c r="B82" s="6" t="s">
        <v>189</v>
      </c>
      <c r="C82" s="31"/>
      <c r="D82" s="38" t="s">
        <v>190</v>
      </c>
      <c r="E82" s="21">
        <v>28</v>
      </c>
      <c r="F82" s="21">
        <v>27</v>
      </c>
      <c r="G82" s="21">
        <v>31</v>
      </c>
      <c r="H82" s="21">
        <v>23</v>
      </c>
    </row>
    <row r="83" spans="1:8" x14ac:dyDescent="0.35">
      <c r="A83" s="10" t="s">
        <v>173</v>
      </c>
      <c r="B83" s="6" t="s">
        <v>189</v>
      </c>
      <c r="C83" s="31"/>
      <c r="D83" s="38" t="s">
        <v>191</v>
      </c>
      <c r="E83" s="21">
        <v>8</v>
      </c>
      <c r="F83" s="21">
        <v>8</v>
      </c>
      <c r="G83" s="21">
        <v>8</v>
      </c>
      <c r="H83" s="21">
        <v>5</v>
      </c>
    </row>
    <row r="84" spans="1:8" x14ac:dyDescent="0.35">
      <c r="A84" s="10" t="s">
        <v>173</v>
      </c>
      <c r="B84" s="6" t="s">
        <v>189</v>
      </c>
      <c r="C84" s="31"/>
      <c r="D84" s="38" t="s">
        <v>192</v>
      </c>
      <c r="E84" s="21">
        <v>4</v>
      </c>
      <c r="F84" s="21">
        <v>4</v>
      </c>
      <c r="G84" s="21" t="s">
        <v>63</v>
      </c>
      <c r="H84" s="21" t="s">
        <v>63</v>
      </c>
    </row>
    <row r="85" spans="1:8" x14ac:dyDescent="0.35">
      <c r="A85" s="10" t="s">
        <v>193</v>
      </c>
      <c r="B85" s="6" t="s">
        <v>189</v>
      </c>
      <c r="C85" s="25"/>
      <c r="D85" s="38" t="s">
        <v>190</v>
      </c>
      <c r="E85" s="21">
        <v>28</v>
      </c>
      <c r="F85" s="21">
        <v>27</v>
      </c>
      <c r="G85" s="21">
        <v>31</v>
      </c>
      <c r="H85" s="21">
        <v>23</v>
      </c>
    </row>
    <row r="86" spans="1:8" x14ac:dyDescent="0.35">
      <c r="A86" s="10" t="s">
        <v>193</v>
      </c>
      <c r="B86" s="6" t="s">
        <v>99</v>
      </c>
      <c r="C86" s="31"/>
      <c r="D86" s="38" t="s">
        <v>194</v>
      </c>
      <c r="E86" s="21">
        <v>13</v>
      </c>
      <c r="F86" s="21">
        <v>13</v>
      </c>
      <c r="G86" s="21" t="s">
        <v>63</v>
      </c>
      <c r="H86" s="21" t="s">
        <v>63</v>
      </c>
    </row>
    <row r="87" spans="1:8" x14ac:dyDescent="0.35">
      <c r="A87" s="10" t="s">
        <v>193</v>
      </c>
      <c r="B87" s="6" t="s">
        <v>91</v>
      </c>
      <c r="C87" s="31"/>
      <c r="D87" s="38" t="s">
        <v>195</v>
      </c>
      <c r="E87" s="21" t="s">
        <v>63</v>
      </c>
      <c r="F87" s="21" t="s">
        <v>63</v>
      </c>
      <c r="G87" s="21">
        <v>24</v>
      </c>
      <c r="H87" s="21">
        <v>21</v>
      </c>
    </row>
    <row r="88" spans="1:8" x14ac:dyDescent="0.35">
      <c r="A88" s="10" t="s">
        <v>193</v>
      </c>
      <c r="B88" s="6" t="s">
        <v>196</v>
      </c>
      <c r="C88" s="31"/>
      <c r="D88" s="38" t="s">
        <v>197</v>
      </c>
      <c r="E88" s="21" t="s">
        <v>63</v>
      </c>
      <c r="F88" s="21" t="s">
        <v>63</v>
      </c>
      <c r="G88" s="21" t="s">
        <v>63</v>
      </c>
      <c r="H88" s="21" t="s">
        <v>63</v>
      </c>
    </row>
    <row r="89" spans="1:8" x14ac:dyDescent="0.35">
      <c r="A89" s="10" t="s">
        <v>193</v>
      </c>
      <c r="B89" s="6" t="s">
        <v>198</v>
      </c>
      <c r="C89" s="31"/>
      <c r="D89" s="38" t="s">
        <v>199</v>
      </c>
      <c r="E89" s="21" t="s">
        <v>63</v>
      </c>
      <c r="F89" s="21" t="s">
        <v>63</v>
      </c>
      <c r="G89" s="21">
        <v>21</v>
      </c>
      <c r="H89" s="21">
        <v>10</v>
      </c>
    </row>
    <row r="90" spans="1:8" x14ac:dyDescent="0.35">
      <c r="A90" s="12" t="s">
        <v>200</v>
      </c>
      <c r="B90" s="30" t="s">
        <v>75</v>
      </c>
      <c r="C90" s="2" t="s">
        <v>201</v>
      </c>
      <c r="D90" s="38" t="s">
        <v>76</v>
      </c>
      <c r="E90" s="21">
        <v>58</v>
      </c>
      <c r="F90" s="21">
        <v>57</v>
      </c>
      <c r="G90" s="21">
        <v>86</v>
      </c>
      <c r="H90" s="21">
        <v>58</v>
      </c>
    </row>
    <row r="91" spans="1:8" x14ac:dyDescent="0.35">
      <c r="A91" s="12" t="s">
        <v>200</v>
      </c>
      <c r="B91" s="30" t="s">
        <v>184</v>
      </c>
      <c r="C91" s="2" t="s">
        <v>202</v>
      </c>
      <c r="D91" s="38" t="s">
        <v>70</v>
      </c>
      <c r="E91" s="21" t="s">
        <v>63</v>
      </c>
      <c r="F91" s="21" t="s">
        <v>63</v>
      </c>
      <c r="G91" s="21">
        <v>57</v>
      </c>
      <c r="H91" s="21">
        <v>36</v>
      </c>
    </row>
    <row r="92" spans="1:8" x14ac:dyDescent="0.35">
      <c r="A92" s="12" t="s">
        <v>200</v>
      </c>
      <c r="B92" s="30" t="s">
        <v>184</v>
      </c>
      <c r="C92" s="2" t="s">
        <v>202</v>
      </c>
      <c r="D92" s="38" t="s">
        <v>203</v>
      </c>
      <c r="E92" s="21">
        <v>55</v>
      </c>
      <c r="F92" s="21">
        <v>55</v>
      </c>
      <c r="G92" s="21">
        <v>64</v>
      </c>
      <c r="H92" s="21">
        <v>50</v>
      </c>
    </row>
    <row r="93" spans="1:8" x14ac:dyDescent="0.35">
      <c r="A93" s="12" t="s">
        <v>200</v>
      </c>
      <c r="B93" s="30" t="s">
        <v>184</v>
      </c>
      <c r="C93" s="2" t="s">
        <v>202</v>
      </c>
      <c r="D93" s="38" t="s">
        <v>204</v>
      </c>
      <c r="E93" s="21" t="s">
        <v>63</v>
      </c>
      <c r="F93" s="21" t="s">
        <v>63</v>
      </c>
      <c r="G93" s="21">
        <v>50</v>
      </c>
      <c r="H93" s="21">
        <v>33</v>
      </c>
    </row>
    <row r="94" spans="1:8" x14ac:dyDescent="0.35">
      <c r="A94" s="12" t="s">
        <v>200</v>
      </c>
      <c r="B94" s="30" t="s">
        <v>184</v>
      </c>
      <c r="C94" s="2" t="s">
        <v>202</v>
      </c>
      <c r="D94" s="38" t="s">
        <v>205</v>
      </c>
      <c r="E94" s="21" t="s">
        <v>63</v>
      </c>
      <c r="F94" s="21" t="s">
        <v>63</v>
      </c>
      <c r="G94" s="21">
        <v>98</v>
      </c>
      <c r="H94" s="21">
        <v>67</v>
      </c>
    </row>
    <row r="95" spans="1:8" x14ac:dyDescent="0.35">
      <c r="A95" s="12" t="s">
        <v>200</v>
      </c>
      <c r="B95" s="30" t="s">
        <v>184</v>
      </c>
      <c r="C95" s="2" t="s">
        <v>206</v>
      </c>
      <c r="D95" s="38" t="s">
        <v>70</v>
      </c>
      <c r="E95" s="21" t="s">
        <v>63</v>
      </c>
      <c r="F95" s="21" t="s">
        <v>63</v>
      </c>
      <c r="G95" s="21">
        <v>57</v>
      </c>
      <c r="H95" s="21">
        <v>36</v>
      </c>
    </row>
    <row r="96" spans="1:8" x14ac:dyDescent="0.35">
      <c r="A96" s="12" t="s">
        <v>200</v>
      </c>
      <c r="B96" s="30" t="s">
        <v>184</v>
      </c>
      <c r="C96" s="2" t="s">
        <v>206</v>
      </c>
      <c r="D96" s="38" t="s">
        <v>207</v>
      </c>
      <c r="E96" s="21">
        <v>27</v>
      </c>
      <c r="F96" s="21">
        <v>27</v>
      </c>
      <c r="G96" s="21">
        <v>28</v>
      </c>
      <c r="H96" s="21">
        <v>24</v>
      </c>
    </row>
    <row r="97" spans="1:8" x14ac:dyDescent="0.35">
      <c r="A97" s="12" t="s">
        <v>200</v>
      </c>
      <c r="B97" s="30" t="s">
        <v>184</v>
      </c>
      <c r="C97" s="2" t="s">
        <v>206</v>
      </c>
      <c r="D97" s="38" t="s">
        <v>203</v>
      </c>
      <c r="E97" s="21">
        <v>55</v>
      </c>
      <c r="F97" s="21">
        <v>55</v>
      </c>
      <c r="G97" s="21">
        <v>64</v>
      </c>
      <c r="H97" s="21">
        <v>50</v>
      </c>
    </row>
    <row r="98" spans="1:8" x14ac:dyDescent="0.35">
      <c r="A98" s="12" t="s">
        <v>200</v>
      </c>
      <c r="B98" s="30" t="s">
        <v>184</v>
      </c>
      <c r="C98" s="2" t="s">
        <v>206</v>
      </c>
      <c r="D98" s="38" t="s">
        <v>208</v>
      </c>
      <c r="E98" s="21">
        <v>26</v>
      </c>
      <c r="F98" s="21">
        <v>24</v>
      </c>
      <c r="G98" s="21" t="s">
        <v>63</v>
      </c>
      <c r="H98" s="21" t="s">
        <v>63</v>
      </c>
    </row>
    <row r="99" spans="1:8" x14ac:dyDescent="0.35">
      <c r="A99" s="12" t="s">
        <v>200</v>
      </c>
      <c r="B99" s="30" t="s">
        <v>184</v>
      </c>
      <c r="C99" s="2" t="s">
        <v>206</v>
      </c>
      <c r="D99" s="38" t="s">
        <v>209</v>
      </c>
      <c r="E99" s="21" t="s">
        <v>63</v>
      </c>
      <c r="F99" s="21" t="s">
        <v>63</v>
      </c>
      <c r="G99" s="21">
        <v>62</v>
      </c>
      <c r="H99" s="21">
        <v>35</v>
      </c>
    </row>
    <row r="100" spans="1:8" x14ac:dyDescent="0.35">
      <c r="A100" s="12" t="s">
        <v>200</v>
      </c>
      <c r="B100" s="30" t="s">
        <v>184</v>
      </c>
      <c r="C100" s="2" t="s">
        <v>206</v>
      </c>
      <c r="D100" s="38" t="s">
        <v>210</v>
      </c>
      <c r="E100" s="21">
        <v>28</v>
      </c>
      <c r="F100" s="21">
        <v>26</v>
      </c>
      <c r="G100" s="21">
        <v>36</v>
      </c>
      <c r="H100" s="21">
        <v>24</v>
      </c>
    </row>
    <row r="101" spans="1:8" x14ac:dyDescent="0.35">
      <c r="A101" s="12" t="s">
        <v>200</v>
      </c>
      <c r="B101" s="30" t="s">
        <v>184</v>
      </c>
      <c r="C101" s="2" t="s">
        <v>206</v>
      </c>
      <c r="D101" t="s">
        <v>211</v>
      </c>
      <c r="E101" s="21" t="s">
        <v>63</v>
      </c>
      <c r="F101" s="21" t="s">
        <v>63</v>
      </c>
      <c r="G101" s="21">
        <v>83</v>
      </c>
      <c r="H101" s="21">
        <v>54</v>
      </c>
    </row>
    <row r="102" spans="1:8" x14ac:dyDescent="0.35">
      <c r="A102" s="12" t="s">
        <v>200</v>
      </c>
      <c r="B102" s="30" t="s">
        <v>184</v>
      </c>
      <c r="C102" s="2" t="s">
        <v>206</v>
      </c>
      <c r="D102" s="38" t="s">
        <v>212</v>
      </c>
      <c r="E102" s="21" t="s">
        <v>63</v>
      </c>
      <c r="F102" s="21" t="s">
        <v>63</v>
      </c>
      <c r="G102" s="21">
        <v>40</v>
      </c>
      <c r="H102" s="21">
        <v>38</v>
      </c>
    </row>
    <row r="103" spans="1:8" x14ac:dyDescent="0.35">
      <c r="A103" s="12" t="s">
        <v>200</v>
      </c>
      <c r="B103" s="30" t="s">
        <v>184</v>
      </c>
      <c r="C103" s="2" t="s">
        <v>206</v>
      </c>
      <c r="D103" s="38" t="s">
        <v>213</v>
      </c>
      <c r="E103" s="21" t="s">
        <v>63</v>
      </c>
      <c r="F103" s="21" t="s">
        <v>63</v>
      </c>
      <c r="G103" s="21">
        <v>23</v>
      </c>
      <c r="H103" s="21">
        <v>22</v>
      </c>
    </row>
    <row r="104" spans="1:8" x14ac:dyDescent="0.35">
      <c r="A104" s="12" t="s">
        <v>200</v>
      </c>
      <c r="B104" s="30" t="s">
        <v>184</v>
      </c>
      <c r="C104" s="2" t="s">
        <v>206</v>
      </c>
      <c r="D104" s="38" t="s">
        <v>214</v>
      </c>
      <c r="E104" s="21" t="s">
        <v>63</v>
      </c>
      <c r="F104" s="21" t="s">
        <v>63</v>
      </c>
      <c r="G104" s="21">
        <v>86</v>
      </c>
      <c r="H104" s="21">
        <v>50</v>
      </c>
    </row>
    <row r="105" spans="1:8" x14ac:dyDescent="0.35">
      <c r="A105" s="12" t="s">
        <v>200</v>
      </c>
      <c r="B105" s="30" t="s">
        <v>88</v>
      </c>
      <c r="C105" s="2" t="s">
        <v>215</v>
      </c>
      <c r="D105" s="38" t="s">
        <v>216</v>
      </c>
      <c r="E105" s="21">
        <v>2</v>
      </c>
      <c r="F105" s="21">
        <v>2</v>
      </c>
      <c r="G105" s="21" t="s">
        <v>63</v>
      </c>
      <c r="H105" s="21" t="s">
        <v>63</v>
      </c>
    </row>
    <row r="106" spans="1:8" x14ac:dyDescent="0.35">
      <c r="A106" s="12" t="s">
        <v>200</v>
      </c>
      <c r="B106" s="6" t="s">
        <v>88</v>
      </c>
      <c r="C106" s="3" t="s">
        <v>215</v>
      </c>
      <c r="D106" s="38" t="s">
        <v>217</v>
      </c>
      <c r="E106" s="21">
        <v>4</v>
      </c>
      <c r="F106" s="21">
        <v>4</v>
      </c>
      <c r="G106" s="21" t="s">
        <v>63</v>
      </c>
      <c r="H106" s="21" t="s">
        <v>63</v>
      </c>
    </row>
    <row r="107" spans="1:8" x14ac:dyDescent="0.35">
      <c r="A107" s="12" t="s">
        <v>200</v>
      </c>
      <c r="B107" s="30" t="s">
        <v>101</v>
      </c>
      <c r="C107" s="2" t="s">
        <v>218</v>
      </c>
      <c r="D107" s="38" t="s">
        <v>219</v>
      </c>
      <c r="E107" s="21" t="s">
        <v>63</v>
      </c>
      <c r="F107" s="21" t="s">
        <v>63</v>
      </c>
      <c r="G107" s="21" t="s">
        <v>63</v>
      </c>
      <c r="H107" s="21" t="s">
        <v>63</v>
      </c>
    </row>
    <row r="108" spans="1:8" x14ac:dyDescent="0.35">
      <c r="A108" s="12" t="s">
        <v>200</v>
      </c>
      <c r="B108" s="30" t="s">
        <v>101</v>
      </c>
      <c r="C108" s="2" t="s">
        <v>218</v>
      </c>
      <c r="D108" s="38" t="s">
        <v>220</v>
      </c>
      <c r="E108" s="21">
        <v>4</v>
      </c>
      <c r="F108" s="21">
        <v>4</v>
      </c>
      <c r="G108" s="21">
        <v>5</v>
      </c>
      <c r="H108" s="21">
        <v>3</v>
      </c>
    </row>
    <row r="109" spans="1:8" x14ac:dyDescent="0.35">
      <c r="A109" s="12" t="s">
        <v>200</v>
      </c>
      <c r="B109" s="30" t="s">
        <v>101</v>
      </c>
      <c r="C109" s="2" t="s">
        <v>218</v>
      </c>
      <c r="D109" s="38" t="s">
        <v>221</v>
      </c>
      <c r="E109" s="21" t="s">
        <v>63</v>
      </c>
      <c r="F109" s="21" t="s">
        <v>63</v>
      </c>
      <c r="G109" s="21" t="s">
        <v>63</v>
      </c>
      <c r="H109" s="21" t="s">
        <v>63</v>
      </c>
    </row>
    <row r="110" spans="1:8" x14ac:dyDescent="0.35">
      <c r="A110" s="12" t="s">
        <v>200</v>
      </c>
      <c r="B110" s="30" t="s">
        <v>171</v>
      </c>
      <c r="C110" s="2" t="s">
        <v>222</v>
      </c>
      <c r="D110" s="38" t="s">
        <v>223</v>
      </c>
      <c r="E110" s="21"/>
      <c r="F110" s="21"/>
      <c r="G110" s="21"/>
      <c r="H110" s="21"/>
    </row>
    <row r="111" spans="1:8" x14ac:dyDescent="0.35">
      <c r="A111" s="12" t="s">
        <v>200</v>
      </c>
      <c r="B111" s="30" t="s">
        <v>224</v>
      </c>
      <c r="C111" s="2" t="s">
        <v>225</v>
      </c>
      <c r="D111" s="38" t="s">
        <v>226</v>
      </c>
      <c r="E111" s="21" t="s">
        <v>63</v>
      </c>
      <c r="F111" s="21" t="s">
        <v>63</v>
      </c>
      <c r="G111" s="21">
        <v>50</v>
      </c>
      <c r="H111" s="21">
        <v>33</v>
      </c>
    </row>
    <row r="112" spans="1:8" x14ac:dyDescent="0.35">
      <c r="A112" s="12" t="s">
        <v>200</v>
      </c>
      <c r="B112" s="30" t="s">
        <v>224</v>
      </c>
      <c r="C112" s="2" t="s">
        <v>225</v>
      </c>
      <c r="D112" s="38" t="s">
        <v>227</v>
      </c>
      <c r="E112" s="21">
        <v>4</v>
      </c>
      <c r="F112" s="21">
        <v>4</v>
      </c>
      <c r="G112" s="21">
        <v>9</v>
      </c>
      <c r="H112" s="21">
        <v>7</v>
      </c>
    </row>
    <row r="113" spans="1:8" x14ac:dyDescent="0.35">
      <c r="A113" s="12" t="s">
        <v>200</v>
      </c>
      <c r="B113" s="30" t="s">
        <v>224</v>
      </c>
      <c r="C113" s="2" t="s">
        <v>225</v>
      </c>
      <c r="D113" s="38" t="s">
        <v>228</v>
      </c>
      <c r="E113" s="21">
        <v>15</v>
      </c>
      <c r="F113" s="21">
        <v>14</v>
      </c>
      <c r="G113" s="21">
        <v>27</v>
      </c>
      <c r="H113" s="21">
        <v>16</v>
      </c>
    </row>
    <row r="114" spans="1:8" x14ac:dyDescent="0.35">
      <c r="A114" s="12" t="s">
        <v>200</v>
      </c>
      <c r="B114" s="30" t="s">
        <v>224</v>
      </c>
      <c r="C114" s="2" t="s">
        <v>225</v>
      </c>
      <c r="D114" s="38" t="s">
        <v>229</v>
      </c>
      <c r="E114" s="21" t="s">
        <v>63</v>
      </c>
      <c r="F114" s="21" t="s">
        <v>63</v>
      </c>
      <c r="G114" s="21">
        <v>17</v>
      </c>
      <c r="H114" s="21">
        <v>11</v>
      </c>
    </row>
    <row r="115" spans="1:8" x14ac:dyDescent="0.35">
      <c r="A115" s="12" t="s">
        <v>200</v>
      </c>
      <c r="B115" s="30" t="s">
        <v>224</v>
      </c>
      <c r="C115" s="2" t="s">
        <v>225</v>
      </c>
      <c r="D115" s="38" t="s">
        <v>230</v>
      </c>
      <c r="E115" s="21" t="s">
        <v>63</v>
      </c>
      <c r="F115" s="21" t="s">
        <v>63</v>
      </c>
      <c r="G115" s="21" t="s">
        <v>63</v>
      </c>
      <c r="H115" s="21" t="s">
        <v>63</v>
      </c>
    </row>
    <row r="116" spans="1:8" x14ac:dyDescent="0.35">
      <c r="A116" s="12" t="s">
        <v>200</v>
      </c>
      <c r="B116" s="30" t="s">
        <v>224</v>
      </c>
      <c r="C116" s="2" t="s">
        <v>225</v>
      </c>
      <c r="D116" s="38" t="s">
        <v>231</v>
      </c>
      <c r="E116" s="21">
        <v>29</v>
      </c>
      <c r="F116" s="21">
        <v>27</v>
      </c>
      <c r="G116" s="21">
        <v>30</v>
      </c>
      <c r="H116" s="21">
        <v>21</v>
      </c>
    </row>
    <row r="117" spans="1:8" x14ac:dyDescent="0.35">
      <c r="A117" s="12" t="s">
        <v>200</v>
      </c>
      <c r="B117" s="30" t="s">
        <v>224</v>
      </c>
      <c r="C117" s="2" t="s">
        <v>225</v>
      </c>
      <c r="D117" s="38" t="s">
        <v>232</v>
      </c>
      <c r="E117" s="21">
        <v>32</v>
      </c>
      <c r="F117" s="21">
        <v>27</v>
      </c>
      <c r="G117" s="21">
        <v>42</v>
      </c>
      <c r="H117" s="21">
        <v>29</v>
      </c>
    </row>
    <row r="118" spans="1:8" x14ac:dyDescent="0.35">
      <c r="A118" s="12" t="s">
        <v>200</v>
      </c>
      <c r="B118" s="30" t="s">
        <v>224</v>
      </c>
      <c r="C118" s="2" t="s">
        <v>225</v>
      </c>
      <c r="D118" s="38" t="s">
        <v>233</v>
      </c>
      <c r="E118" s="21" t="s">
        <v>63</v>
      </c>
      <c r="F118" s="21" t="s">
        <v>63</v>
      </c>
      <c r="G118" s="21" t="s">
        <v>63</v>
      </c>
      <c r="H118" s="21" t="s">
        <v>63</v>
      </c>
    </row>
    <row r="119" spans="1:8" x14ac:dyDescent="0.35">
      <c r="A119" s="12" t="s">
        <v>200</v>
      </c>
      <c r="B119" s="30" t="s">
        <v>224</v>
      </c>
      <c r="C119" s="2" t="s">
        <v>225</v>
      </c>
      <c r="D119" s="38" t="s">
        <v>234</v>
      </c>
      <c r="E119" s="21">
        <v>8</v>
      </c>
      <c r="F119" s="21">
        <v>8</v>
      </c>
      <c r="G119" s="21" t="s">
        <v>63</v>
      </c>
      <c r="H119" s="21" t="s">
        <v>63</v>
      </c>
    </row>
    <row r="120" spans="1:8" x14ac:dyDescent="0.35">
      <c r="A120" s="12" t="s">
        <v>200</v>
      </c>
      <c r="B120" s="30" t="s">
        <v>224</v>
      </c>
      <c r="C120" s="2" t="s">
        <v>225</v>
      </c>
      <c r="D120" s="38" t="s">
        <v>235</v>
      </c>
      <c r="E120" s="21" t="s">
        <v>63</v>
      </c>
      <c r="F120" s="21" t="s">
        <v>63</v>
      </c>
      <c r="G120" s="21" t="s">
        <v>63</v>
      </c>
      <c r="H120" s="21" t="s">
        <v>63</v>
      </c>
    </row>
    <row r="121" spans="1:8" x14ac:dyDescent="0.35">
      <c r="A121" s="12" t="s">
        <v>200</v>
      </c>
      <c r="B121" s="30" t="s">
        <v>224</v>
      </c>
      <c r="C121" s="2" t="s">
        <v>225</v>
      </c>
      <c r="D121" s="38" t="s">
        <v>236</v>
      </c>
      <c r="E121" s="21">
        <v>18</v>
      </c>
      <c r="F121" s="21">
        <v>16</v>
      </c>
      <c r="G121" s="21">
        <v>23</v>
      </c>
      <c r="H121" s="21">
        <v>16</v>
      </c>
    </row>
    <row r="122" spans="1:8" x14ac:dyDescent="0.35">
      <c r="A122" s="12" t="s">
        <v>200</v>
      </c>
      <c r="B122" s="30" t="s">
        <v>224</v>
      </c>
      <c r="C122" s="2" t="s">
        <v>225</v>
      </c>
      <c r="D122" s="38" t="s">
        <v>237</v>
      </c>
      <c r="E122" s="21">
        <v>5</v>
      </c>
      <c r="F122" s="21">
        <v>4</v>
      </c>
      <c r="G122" s="21">
        <v>10</v>
      </c>
      <c r="H122" s="21">
        <v>6</v>
      </c>
    </row>
    <row r="123" spans="1:8" x14ac:dyDescent="0.35">
      <c r="A123" s="12" t="s">
        <v>200</v>
      </c>
      <c r="B123" s="30" t="s">
        <v>224</v>
      </c>
      <c r="C123" s="2" t="s">
        <v>225</v>
      </c>
      <c r="D123" s="38" t="s">
        <v>238</v>
      </c>
      <c r="E123" s="21">
        <v>25</v>
      </c>
      <c r="F123" s="21">
        <v>21</v>
      </c>
      <c r="G123" s="21">
        <v>29</v>
      </c>
      <c r="H123" s="21">
        <v>22</v>
      </c>
    </row>
    <row r="124" spans="1:8" x14ac:dyDescent="0.35">
      <c r="A124" s="12" t="s">
        <v>200</v>
      </c>
      <c r="B124" s="30" t="s">
        <v>224</v>
      </c>
      <c r="C124" s="2" t="s">
        <v>225</v>
      </c>
      <c r="D124" s="38" t="s">
        <v>239</v>
      </c>
      <c r="E124" s="21">
        <v>12</v>
      </c>
      <c r="F124" s="21">
        <v>10</v>
      </c>
      <c r="G124" s="21">
        <v>17</v>
      </c>
      <c r="H124" s="21">
        <v>14</v>
      </c>
    </row>
    <row r="125" spans="1:8" x14ac:dyDescent="0.35">
      <c r="A125" s="12" t="s">
        <v>200</v>
      </c>
      <c r="B125" s="30" t="s">
        <v>224</v>
      </c>
      <c r="C125" s="2" t="s">
        <v>225</v>
      </c>
      <c r="D125" s="38" t="s">
        <v>240</v>
      </c>
      <c r="E125" s="21">
        <v>27</v>
      </c>
      <c r="F125" s="21">
        <v>26</v>
      </c>
      <c r="G125" s="21" t="s">
        <v>63</v>
      </c>
      <c r="H125" s="21" t="s">
        <v>63</v>
      </c>
    </row>
    <row r="126" spans="1:8" x14ac:dyDescent="0.35">
      <c r="A126" s="12" t="s">
        <v>200</v>
      </c>
      <c r="B126" s="30" t="s">
        <v>224</v>
      </c>
      <c r="C126" s="2" t="s">
        <v>225</v>
      </c>
      <c r="D126" s="38" t="s">
        <v>241</v>
      </c>
      <c r="E126" s="21">
        <v>24</v>
      </c>
      <c r="F126" s="21">
        <v>22</v>
      </c>
      <c r="G126" s="21">
        <v>28</v>
      </c>
      <c r="H126" s="21">
        <v>21</v>
      </c>
    </row>
    <row r="127" spans="1:8" x14ac:dyDescent="0.35">
      <c r="A127" s="12" t="s">
        <v>200</v>
      </c>
      <c r="B127" s="30" t="s">
        <v>224</v>
      </c>
      <c r="C127" s="2" t="s">
        <v>225</v>
      </c>
      <c r="D127" s="38" t="s">
        <v>242</v>
      </c>
      <c r="E127" s="21">
        <v>1</v>
      </c>
      <c r="F127" s="21">
        <v>1</v>
      </c>
      <c r="G127" s="21">
        <v>5</v>
      </c>
      <c r="H127" s="21">
        <v>5</v>
      </c>
    </row>
    <row r="128" spans="1:8" x14ac:dyDescent="0.35">
      <c r="A128" s="12" t="s">
        <v>200</v>
      </c>
      <c r="B128" s="30" t="s">
        <v>224</v>
      </c>
      <c r="C128" s="2" t="s">
        <v>225</v>
      </c>
      <c r="D128" s="38" t="s">
        <v>243</v>
      </c>
      <c r="E128" s="21">
        <v>17</v>
      </c>
      <c r="F128" s="21">
        <v>16</v>
      </c>
      <c r="G128" s="21" t="s">
        <v>63</v>
      </c>
      <c r="H128" s="21" t="s">
        <v>63</v>
      </c>
    </row>
    <row r="129" spans="1:8" x14ac:dyDescent="0.35">
      <c r="A129" s="12" t="s">
        <v>200</v>
      </c>
      <c r="B129" s="30" t="s">
        <v>224</v>
      </c>
      <c r="C129" t="s">
        <v>244</v>
      </c>
      <c r="D129" s="38" t="s">
        <v>245</v>
      </c>
      <c r="E129" s="21">
        <v>14</v>
      </c>
      <c r="F129" s="21">
        <v>13</v>
      </c>
      <c r="G129" s="21">
        <v>19</v>
      </c>
      <c r="H129" s="21">
        <v>11</v>
      </c>
    </row>
    <row r="130" spans="1:8" x14ac:dyDescent="0.35">
      <c r="A130" s="12" t="s">
        <v>200</v>
      </c>
      <c r="B130" s="30" t="s">
        <v>224</v>
      </c>
      <c r="C130" s="2" t="s">
        <v>244</v>
      </c>
      <c r="D130" s="38" t="s">
        <v>231</v>
      </c>
      <c r="E130" s="21"/>
      <c r="F130" s="21"/>
      <c r="G130" s="21"/>
      <c r="H130" s="21"/>
    </row>
    <row r="131" spans="1:8" x14ac:dyDescent="0.35">
      <c r="A131" s="12" t="s">
        <v>200</v>
      </c>
      <c r="B131" s="30" t="s">
        <v>224</v>
      </c>
      <c r="C131" s="2" t="s">
        <v>244</v>
      </c>
      <c r="D131" s="38" t="s">
        <v>246</v>
      </c>
      <c r="E131" s="21" t="s">
        <v>63</v>
      </c>
      <c r="F131" s="21" t="s">
        <v>63</v>
      </c>
      <c r="G131" s="21" t="s">
        <v>63</v>
      </c>
      <c r="H131" s="21" t="s">
        <v>63</v>
      </c>
    </row>
    <row r="132" spans="1:8" x14ac:dyDescent="0.35">
      <c r="A132" s="12" t="s">
        <v>200</v>
      </c>
      <c r="B132" s="30" t="s">
        <v>224</v>
      </c>
      <c r="C132" s="2" t="s">
        <v>244</v>
      </c>
      <c r="D132" s="38" t="s">
        <v>240</v>
      </c>
      <c r="E132" s="21"/>
      <c r="F132" s="21"/>
      <c r="G132" s="21"/>
      <c r="H132" s="21"/>
    </row>
    <row r="133" spans="1:8" x14ac:dyDescent="0.35">
      <c r="A133" s="12" t="s">
        <v>200</v>
      </c>
      <c r="B133" s="30" t="s">
        <v>224</v>
      </c>
      <c r="C133" s="2" t="s">
        <v>244</v>
      </c>
      <c r="D133" s="38" t="s">
        <v>247</v>
      </c>
      <c r="E133" s="21"/>
      <c r="F133" s="21"/>
      <c r="G133" s="21"/>
      <c r="H133" s="21"/>
    </row>
    <row r="134" spans="1:8" x14ac:dyDescent="0.35">
      <c r="A134" s="12" t="s">
        <v>200</v>
      </c>
      <c r="B134" s="30" t="s">
        <v>224</v>
      </c>
      <c r="C134" s="2" t="s">
        <v>244</v>
      </c>
      <c r="D134" s="38" t="s">
        <v>248</v>
      </c>
      <c r="E134" s="21">
        <v>6</v>
      </c>
      <c r="F134" s="21">
        <v>6</v>
      </c>
      <c r="G134" s="21">
        <v>8</v>
      </c>
      <c r="H134" s="21">
        <v>8</v>
      </c>
    </row>
    <row r="135" spans="1:8" x14ac:dyDescent="0.35">
      <c r="A135" s="12" t="s">
        <v>200</v>
      </c>
      <c r="B135" s="30" t="s">
        <v>224</v>
      </c>
      <c r="C135" s="2" t="s">
        <v>244</v>
      </c>
      <c r="D135" s="38" t="s">
        <v>249</v>
      </c>
      <c r="E135" s="21">
        <v>3</v>
      </c>
      <c r="F135" s="21">
        <v>3</v>
      </c>
      <c r="G135" s="21" t="s">
        <v>63</v>
      </c>
      <c r="H135" s="21" t="s">
        <v>63</v>
      </c>
    </row>
    <row r="136" spans="1:8" x14ac:dyDescent="0.35">
      <c r="A136" s="12" t="s">
        <v>200</v>
      </c>
      <c r="B136" s="30" t="s">
        <v>178</v>
      </c>
      <c r="C136" s="2" t="s">
        <v>250</v>
      </c>
      <c r="D136" s="38" t="s">
        <v>251</v>
      </c>
      <c r="E136" s="21">
        <v>4</v>
      </c>
      <c r="F136" s="21">
        <v>4</v>
      </c>
      <c r="G136" s="21">
        <v>5</v>
      </c>
      <c r="H136" s="21">
        <v>5</v>
      </c>
    </row>
    <row r="137" spans="1:8" x14ac:dyDescent="0.35">
      <c r="A137" s="12" t="s">
        <v>200</v>
      </c>
      <c r="B137" s="30" t="s">
        <v>178</v>
      </c>
      <c r="C137" s="2" t="s">
        <v>250</v>
      </c>
      <c r="D137" s="38" t="s">
        <v>252</v>
      </c>
      <c r="E137" s="21">
        <v>21</v>
      </c>
      <c r="F137" s="21">
        <v>20</v>
      </c>
      <c r="G137" s="21">
        <v>26</v>
      </c>
      <c r="H137" s="21">
        <v>18</v>
      </c>
    </row>
    <row r="138" spans="1:8" x14ac:dyDescent="0.35">
      <c r="A138" s="12" t="s">
        <v>200</v>
      </c>
      <c r="B138" s="30" t="s">
        <v>178</v>
      </c>
      <c r="C138" s="2" t="s">
        <v>250</v>
      </c>
      <c r="D138" s="38" t="s">
        <v>253</v>
      </c>
      <c r="E138" s="21" t="s">
        <v>63</v>
      </c>
      <c r="F138" s="21" t="s">
        <v>63</v>
      </c>
      <c r="G138" s="21">
        <v>11</v>
      </c>
      <c r="H138" s="21">
        <v>8</v>
      </c>
    </row>
    <row r="139" spans="1:8" x14ac:dyDescent="0.35">
      <c r="A139" s="12" t="s">
        <v>200</v>
      </c>
      <c r="B139" s="30" t="s">
        <v>178</v>
      </c>
      <c r="C139" s="2" t="s">
        <v>250</v>
      </c>
      <c r="D139" s="38" t="s">
        <v>254</v>
      </c>
      <c r="E139" s="21">
        <v>10</v>
      </c>
      <c r="F139" s="21">
        <v>10</v>
      </c>
      <c r="G139" s="21" t="s">
        <v>63</v>
      </c>
      <c r="H139" s="21" t="s">
        <v>63</v>
      </c>
    </row>
    <row r="140" spans="1:8" x14ac:dyDescent="0.35">
      <c r="A140" s="12" t="s">
        <v>200</v>
      </c>
      <c r="B140" s="30" t="s">
        <v>178</v>
      </c>
      <c r="C140" s="2" t="s">
        <v>250</v>
      </c>
      <c r="D140" s="38" t="s">
        <v>255</v>
      </c>
      <c r="E140" s="21">
        <v>11</v>
      </c>
      <c r="F140" s="21">
        <v>11</v>
      </c>
      <c r="G140" s="21">
        <v>16</v>
      </c>
      <c r="H140" s="21">
        <v>9</v>
      </c>
    </row>
    <row r="141" spans="1:8" x14ac:dyDescent="0.35">
      <c r="A141" s="12" t="s">
        <v>200</v>
      </c>
      <c r="B141" s="30" t="s">
        <v>178</v>
      </c>
      <c r="C141" s="2" t="s">
        <v>250</v>
      </c>
      <c r="D141" s="38" t="s">
        <v>256</v>
      </c>
      <c r="E141" s="21" t="s">
        <v>63</v>
      </c>
      <c r="F141" s="21" t="s">
        <v>63</v>
      </c>
      <c r="G141" s="21" t="s">
        <v>63</v>
      </c>
      <c r="H141" s="21" t="s">
        <v>63</v>
      </c>
    </row>
    <row r="142" spans="1:8" x14ac:dyDescent="0.35">
      <c r="A142" s="10" t="s">
        <v>257</v>
      </c>
      <c r="B142" s="30" t="s">
        <v>102</v>
      </c>
      <c r="C142" s="2" t="s">
        <v>102</v>
      </c>
      <c r="E142" s="23"/>
      <c r="F142" s="23"/>
      <c r="G142" s="23"/>
      <c r="H142" s="23"/>
    </row>
    <row r="143" spans="1:8" x14ac:dyDescent="0.35">
      <c r="A143" s="10" t="s">
        <v>257</v>
      </c>
      <c r="B143" s="6" t="s">
        <v>103</v>
      </c>
      <c r="C143" s="3" t="s">
        <v>103</v>
      </c>
      <c r="E143" s="23"/>
      <c r="F143" s="23"/>
      <c r="G143" s="23"/>
      <c r="H143" s="23"/>
    </row>
    <row r="144" spans="1:8" x14ac:dyDescent="0.35">
      <c r="A144" s="10" t="s">
        <v>257</v>
      </c>
      <c r="B144" s="6" t="s">
        <v>75</v>
      </c>
      <c r="C144" s="3" t="s">
        <v>75</v>
      </c>
      <c r="E144" s="23"/>
      <c r="F144" s="23"/>
      <c r="G144" s="23"/>
      <c r="H144" s="23"/>
    </row>
    <row r="145" spans="1:8" x14ac:dyDescent="0.35">
      <c r="A145" s="10" t="s">
        <v>257</v>
      </c>
      <c r="B145" s="6" t="s">
        <v>128</v>
      </c>
      <c r="C145" s="3" t="s">
        <v>128</v>
      </c>
      <c r="E145" s="23"/>
      <c r="F145" s="23"/>
      <c r="G145" s="23"/>
      <c r="H145" s="23"/>
    </row>
    <row r="146" spans="1:8" x14ac:dyDescent="0.35">
      <c r="A146" s="10" t="s">
        <v>257</v>
      </c>
      <c r="B146" s="6" t="s">
        <v>258</v>
      </c>
      <c r="C146" s="3" t="s">
        <v>258</v>
      </c>
      <c r="E146" s="23"/>
      <c r="F146" s="23"/>
      <c r="G146" s="23"/>
      <c r="H146" s="23"/>
    </row>
    <row r="147" spans="1:8" x14ac:dyDescent="0.35">
      <c r="A147" s="10" t="s">
        <v>257</v>
      </c>
      <c r="B147" s="6" t="s">
        <v>88</v>
      </c>
      <c r="C147" s="3" t="s">
        <v>88</v>
      </c>
      <c r="E147" s="23"/>
      <c r="F147" s="23"/>
      <c r="G147" s="23"/>
      <c r="H147" s="23"/>
    </row>
    <row r="148" spans="1:8" x14ac:dyDescent="0.35">
      <c r="A148" s="10" t="s">
        <v>257</v>
      </c>
      <c r="B148" s="6" t="s">
        <v>104</v>
      </c>
      <c r="C148" s="3" t="s">
        <v>104</v>
      </c>
      <c r="E148" s="23"/>
      <c r="F148" s="23"/>
      <c r="G148" s="23"/>
      <c r="H148" s="23"/>
    </row>
    <row r="149" spans="1:8" x14ac:dyDescent="0.35">
      <c r="A149" s="10" t="s">
        <v>257</v>
      </c>
      <c r="B149" s="6" t="s">
        <v>259</v>
      </c>
      <c r="C149" s="3" t="s">
        <v>259</v>
      </c>
      <c r="E149" s="23"/>
      <c r="F149" s="23"/>
      <c r="G149" s="23"/>
      <c r="H149" s="23"/>
    </row>
    <row r="150" spans="1:8" x14ac:dyDescent="0.35">
      <c r="A150" s="10" t="s">
        <v>257</v>
      </c>
      <c r="B150" s="6" t="s">
        <v>101</v>
      </c>
      <c r="C150" s="3" t="s">
        <v>101</v>
      </c>
      <c r="E150" s="23"/>
      <c r="F150" s="23"/>
      <c r="G150" s="23"/>
      <c r="H150" s="23"/>
    </row>
    <row r="151" spans="1:8" x14ac:dyDescent="0.35">
      <c r="A151" s="10" t="s">
        <v>257</v>
      </c>
      <c r="B151" s="6" t="s">
        <v>81</v>
      </c>
      <c r="C151" s="3" t="s">
        <v>81</v>
      </c>
      <c r="E151" s="23"/>
      <c r="F151" s="23"/>
      <c r="G151" s="23"/>
      <c r="H151" s="23"/>
    </row>
    <row r="152" spans="1:8" x14ac:dyDescent="0.35">
      <c r="A152" s="10" t="s">
        <v>257</v>
      </c>
      <c r="B152" s="6" t="s">
        <v>260</v>
      </c>
      <c r="C152" s="3" t="s">
        <v>260</v>
      </c>
      <c r="E152" s="23"/>
      <c r="F152" s="23"/>
      <c r="G152" s="23"/>
      <c r="H152" s="23"/>
    </row>
    <row r="153" spans="1:8" x14ac:dyDescent="0.35">
      <c r="A153" s="10" t="s">
        <v>257</v>
      </c>
      <c r="B153" s="6" t="s">
        <v>261</v>
      </c>
      <c r="C153" s="3" t="s">
        <v>261</v>
      </c>
      <c r="E153" s="23"/>
      <c r="F153" s="23"/>
      <c r="G153" s="23"/>
      <c r="H153" s="23"/>
    </row>
    <row r="154" spans="1:8" x14ac:dyDescent="0.35">
      <c r="A154" s="10" t="s">
        <v>257</v>
      </c>
      <c r="B154" s="6" t="s">
        <v>262</v>
      </c>
      <c r="C154" s="3" t="s">
        <v>262</v>
      </c>
      <c r="E154" s="23"/>
      <c r="F154" s="23"/>
      <c r="G154" s="23"/>
      <c r="H154" s="23"/>
    </row>
    <row r="155" spans="1:8" x14ac:dyDescent="0.35">
      <c r="A155" s="10" t="s">
        <v>257</v>
      </c>
      <c r="B155" s="6" t="s">
        <v>91</v>
      </c>
      <c r="C155" s="3" t="s">
        <v>91</v>
      </c>
      <c r="E155" s="23"/>
      <c r="F155" s="23"/>
      <c r="G155" s="23"/>
      <c r="H155" s="23"/>
    </row>
    <row r="156" spans="1:8" x14ac:dyDescent="0.35">
      <c r="A156" s="10" t="s">
        <v>257</v>
      </c>
      <c r="B156" s="6" t="s">
        <v>60</v>
      </c>
      <c r="C156" s="3" t="s">
        <v>60</v>
      </c>
      <c r="E156" s="23"/>
      <c r="F156" s="23"/>
      <c r="G156" s="23"/>
      <c r="H156" s="23"/>
    </row>
    <row r="157" spans="1:8" x14ac:dyDescent="0.35">
      <c r="A157" s="9" t="s">
        <v>263</v>
      </c>
      <c r="B157" s="6"/>
      <c r="C157" s="3"/>
      <c r="E157" s="23"/>
      <c r="F157" s="23"/>
      <c r="G157" s="23"/>
      <c r="H157" s="23"/>
    </row>
    <row r="158" spans="1:8" x14ac:dyDescent="0.35">
      <c r="A158" s="10" t="s">
        <v>264</v>
      </c>
      <c r="B158" s="30" t="s">
        <v>93</v>
      </c>
      <c r="C158" s="2" t="s">
        <v>265</v>
      </c>
      <c r="D158" s="42"/>
      <c r="E158" s="23"/>
      <c r="F158" s="23"/>
      <c r="G158" s="23"/>
      <c r="H158" s="23"/>
    </row>
    <row r="159" spans="1:8" x14ac:dyDescent="0.35">
      <c r="A159" s="10" t="s">
        <v>264</v>
      </c>
      <c r="B159" s="30" t="s">
        <v>57</v>
      </c>
      <c r="C159" s="2" t="s">
        <v>266</v>
      </c>
      <c r="D159" s="42"/>
      <c r="E159" s="23"/>
      <c r="F159" s="23"/>
      <c r="G159" s="23"/>
      <c r="H159" s="23"/>
    </row>
    <row r="160" spans="1:8" x14ac:dyDescent="0.35">
      <c r="A160" s="10" t="s">
        <v>264</v>
      </c>
      <c r="B160" s="30" t="s">
        <v>57</v>
      </c>
      <c r="C160" s="2" t="s">
        <v>267</v>
      </c>
      <c r="D160" s="42"/>
      <c r="E160" s="23"/>
      <c r="F160" s="23"/>
      <c r="G160" s="23"/>
      <c r="H160" s="23"/>
    </row>
    <row r="161" spans="1:8" x14ac:dyDescent="0.35">
      <c r="A161" s="10" t="s">
        <v>264</v>
      </c>
      <c r="B161" s="30" t="s">
        <v>57</v>
      </c>
      <c r="C161" s="2" t="s">
        <v>268</v>
      </c>
      <c r="D161" s="42"/>
      <c r="E161" s="23"/>
      <c r="F161" s="23"/>
      <c r="G161" s="23"/>
      <c r="H161" s="23"/>
    </row>
    <row r="162" spans="1:8" x14ac:dyDescent="0.35">
      <c r="A162" s="10" t="s">
        <v>264</v>
      </c>
      <c r="B162" s="30" t="s">
        <v>57</v>
      </c>
      <c r="C162" s="2" t="s">
        <v>269</v>
      </c>
      <c r="D162" s="42"/>
      <c r="E162" s="23"/>
      <c r="F162" s="23"/>
      <c r="G162" s="23"/>
      <c r="H162" s="23"/>
    </row>
    <row r="163" spans="1:8" x14ac:dyDescent="0.35">
      <c r="A163" s="10" t="s">
        <v>264</v>
      </c>
      <c r="B163" s="30" t="s">
        <v>101</v>
      </c>
      <c r="C163" s="2" t="s">
        <v>270</v>
      </c>
      <c r="D163" s="42"/>
      <c r="E163" s="23"/>
      <c r="F163" s="23"/>
      <c r="G163" s="23"/>
      <c r="H163" s="23"/>
    </row>
    <row r="164" spans="1:8" x14ac:dyDescent="0.35">
      <c r="A164" s="10" t="s">
        <v>264</v>
      </c>
      <c r="B164" s="30" t="s">
        <v>271</v>
      </c>
      <c r="C164" s="2" t="s">
        <v>272</v>
      </c>
      <c r="D164" s="42"/>
      <c r="E164" s="23"/>
      <c r="F164" s="23"/>
      <c r="G164" s="23"/>
      <c r="H164" s="23"/>
    </row>
    <row r="165" spans="1:8" x14ac:dyDescent="0.35">
      <c r="A165" s="10" t="s">
        <v>264</v>
      </c>
      <c r="B165" s="30" t="s">
        <v>112</v>
      </c>
      <c r="C165" s="2" t="s">
        <v>273</v>
      </c>
      <c r="D165" s="42"/>
      <c r="E165" s="23"/>
      <c r="F165" s="23"/>
      <c r="G165" s="23"/>
      <c r="H165" s="23"/>
    </row>
    <row r="166" spans="1:8" x14ac:dyDescent="0.35">
      <c r="A166" s="10" t="s">
        <v>264</v>
      </c>
      <c r="B166" s="30" t="s">
        <v>75</v>
      </c>
      <c r="C166" s="2" t="s">
        <v>274</v>
      </c>
      <c r="D166" s="42"/>
      <c r="E166" s="23"/>
      <c r="F166" s="23"/>
      <c r="G166" s="23"/>
      <c r="H166" s="23"/>
    </row>
    <row r="167" spans="1:8" x14ac:dyDescent="0.35">
      <c r="A167" s="10" t="s">
        <v>275</v>
      </c>
      <c r="B167" s="30" t="s">
        <v>128</v>
      </c>
      <c r="C167" s="2" t="s">
        <v>128</v>
      </c>
      <c r="D167" s="42"/>
      <c r="E167" s="23"/>
      <c r="F167" s="23"/>
      <c r="G167" s="23"/>
      <c r="H167" s="23"/>
    </row>
    <row r="168" spans="1:8" x14ac:dyDescent="0.35">
      <c r="A168" s="10" t="s">
        <v>275</v>
      </c>
      <c r="B168" s="30" t="s">
        <v>60</v>
      </c>
      <c r="C168" s="2" t="s">
        <v>60</v>
      </c>
      <c r="D168" s="42"/>
      <c r="E168" s="23"/>
      <c r="F168" s="23"/>
      <c r="G168" s="23"/>
      <c r="H168" s="23"/>
    </row>
    <row r="169" spans="1:8" x14ac:dyDescent="0.35">
      <c r="A169" s="10" t="s">
        <v>275</v>
      </c>
      <c r="B169" s="30" t="s">
        <v>101</v>
      </c>
      <c r="C169" s="2" t="s">
        <v>101</v>
      </c>
      <c r="D169" s="42"/>
      <c r="E169" s="23"/>
      <c r="F169" s="23"/>
      <c r="G169" s="23"/>
      <c r="H169" s="23"/>
    </row>
    <row r="170" spans="1:8" x14ac:dyDescent="0.35">
      <c r="A170" s="10" t="s">
        <v>275</v>
      </c>
      <c r="B170" s="30" t="s">
        <v>88</v>
      </c>
      <c r="C170" s="2" t="s">
        <v>88</v>
      </c>
      <c r="D170" s="42"/>
      <c r="E170" s="23"/>
      <c r="F170" s="23"/>
      <c r="G170" s="23"/>
      <c r="H170" s="23"/>
    </row>
    <row r="171" spans="1:8" x14ac:dyDescent="0.35">
      <c r="A171" s="10" t="s">
        <v>275</v>
      </c>
      <c r="B171" s="30" t="s">
        <v>169</v>
      </c>
      <c r="C171" s="2" t="s">
        <v>169</v>
      </c>
      <c r="D171" s="42"/>
      <c r="E171" s="23"/>
      <c r="F171" s="23"/>
      <c r="G171" s="23"/>
      <c r="H171" s="23"/>
    </row>
    <row r="172" spans="1:8" x14ac:dyDescent="0.35">
      <c r="A172" s="10" t="s">
        <v>275</v>
      </c>
      <c r="B172" s="30" t="s">
        <v>91</v>
      </c>
      <c r="C172" s="2" t="s">
        <v>91</v>
      </c>
      <c r="D172" s="42"/>
      <c r="E172" s="23"/>
      <c r="F172" s="23"/>
      <c r="G172" s="23"/>
      <c r="H172" s="23"/>
    </row>
    <row r="173" spans="1:8" x14ac:dyDescent="0.35">
      <c r="A173" s="10" t="s">
        <v>275</v>
      </c>
      <c r="B173" s="30" t="s">
        <v>75</v>
      </c>
      <c r="C173" s="2" t="s">
        <v>75</v>
      </c>
      <c r="D173" s="42"/>
      <c r="E173" s="23"/>
      <c r="F173" s="23"/>
      <c r="G173" s="23"/>
      <c r="H173" s="23"/>
    </row>
    <row r="174" spans="1:8" x14ac:dyDescent="0.35">
      <c r="A174" s="10" t="s">
        <v>276</v>
      </c>
      <c r="B174" s="30" t="s">
        <v>57</v>
      </c>
      <c r="C174" s="46"/>
      <c r="D174" s="38" t="s">
        <v>277</v>
      </c>
      <c r="E174" s="21">
        <v>86</v>
      </c>
      <c r="F174" s="21">
        <v>84</v>
      </c>
      <c r="G174" s="21">
        <v>104</v>
      </c>
      <c r="H174" s="21">
        <v>81</v>
      </c>
    </row>
    <row r="175" spans="1:8" x14ac:dyDescent="0.35">
      <c r="A175" s="10" t="s">
        <v>276</v>
      </c>
      <c r="B175" s="6" t="s">
        <v>57</v>
      </c>
      <c r="C175" s="44"/>
      <c r="D175" s="38" t="s">
        <v>278</v>
      </c>
      <c r="E175" s="21" t="s">
        <v>63</v>
      </c>
      <c r="F175" s="21" t="s">
        <v>63</v>
      </c>
      <c r="G175" s="21">
        <v>3</v>
      </c>
      <c r="H175" s="21">
        <v>53</v>
      </c>
    </row>
    <row r="176" spans="1:8" x14ac:dyDescent="0.35">
      <c r="A176" s="10" t="s">
        <v>276</v>
      </c>
      <c r="B176" s="30" t="s">
        <v>57</v>
      </c>
      <c r="C176" s="46"/>
      <c r="D176" s="38" t="s">
        <v>279</v>
      </c>
      <c r="E176" s="21">
        <v>80</v>
      </c>
      <c r="F176" s="21">
        <v>76</v>
      </c>
      <c r="G176" s="21">
        <v>93</v>
      </c>
      <c r="H176" s="21">
        <v>68</v>
      </c>
    </row>
    <row r="177" spans="1:8" x14ac:dyDescent="0.35">
      <c r="A177" s="10" t="s">
        <v>276</v>
      </c>
      <c r="B177" s="6" t="s">
        <v>224</v>
      </c>
      <c r="C177" s="44"/>
      <c r="D177" s="38" t="s">
        <v>280</v>
      </c>
      <c r="E177" s="21">
        <v>54</v>
      </c>
      <c r="F177" s="21">
        <v>50</v>
      </c>
      <c r="G177" s="21">
        <v>59</v>
      </c>
      <c r="H177" s="21">
        <v>55</v>
      </c>
    </row>
    <row r="178" spans="1:8" x14ac:dyDescent="0.35">
      <c r="A178" s="10" t="s">
        <v>276</v>
      </c>
      <c r="B178" s="6" t="s">
        <v>75</v>
      </c>
      <c r="C178" s="44"/>
      <c r="D178" s="38" t="s">
        <v>281</v>
      </c>
      <c r="E178" s="21" t="s">
        <v>63</v>
      </c>
      <c r="F178" s="21" t="s">
        <v>63</v>
      </c>
      <c r="G178" s="21">
        <v>76</v>
      </c>
      <c r="H178" s="21">
        <v>48</v>
      </c>
    </row>
    <row r="179" spans="1:8" x14ac:dyDescent="0.35">
      <c r="A179" s="10" t="s">
        <v>282</v>
      </c>
      <c r="B179" s="33" t="s">
        <v>75</v>
      </c>
      <c r="C179" s="25"/>
      <c r="E179" s="23"/>
      <c r="F179" s="23"/>
      <c r="G179" s="23"/>
      <c r="H179" s="23"/>
    </row>
    <row r="180" spans="1:8" x14ac:dyDescent="0.35">
      <c r="A180" s="10" t="s">
        <v>282</v>
      </c>
      <c r="B180" s="31" t="s">
        <v>57</v>
      </c>
      <c r="C180" s="31"/>
      <c r="E180" s="23"/>
      <c r="F180" s="23"/>
      <c r="G180" s="23"/>
      <c r="H180" s="23"/>
    </row>
    <row r="181" spans="1:8" x14ac:dyDescent="0.35">
      <c r="A181" s="10" t="s">
        <v>282</v>
      </c>
      <c r="B181" s="31" t="s">
        <v>93</v>
      </c>
      <c r="C181" s="31"/>
      <c r="E181" s="23"/>
      <c r="F181" s="23"/>
      <c r="G181" s="23"/>
      <c r="H181" s="23"/>
    </row>
    <row r="182" spans="1:8" x14ac:dyDescent="0.35">
      <c r="A182" s="10" t="s">
        <v>282</v>
      </c>
      <c r="B182" s="31" t="s">
        <v>283</v>
      </c>
      <c r="C182" s="31"/>
      <c r="E182" s="23"/>
      <c r="F182" s="23"/>
      <c r="G182" s="23"/>
      <c r="H182" s="23"/>
    </row>
    <row r="183" spans="1:8" x14ac:dyDescent="0.35">
      <c r="A183" s="10" t="s">
        <v>282</v>
      </c>
      <c r="B183" s="31" t="s">
        <v>101</v>
      </c>
      <c r="C183" s="31"/>
      <c r="E183" s="23"/>
      <c r="F183" s="23"/>
      <c r="G183" s="23"/>
      <c r="H183" s="23"/>
    </row>
    <row r="184" spans="1:8" x14ac:dyDescent="0.35">
      <c r="A184" s="10" t="s">
        <v>282</v>
      </c>
      <c r="B184" s="31" t="s">
        <v>60</v>
      </c>
      <c r="C184" s="31"/>
      <c r="E184" s="23"/>
      <c r="F184" s="23"/>
      <c r="G184" s="23"/>
      <c r="H184" s="23"/>
    </row>
    <row r="185" spans="1:8" x14ac:dyDescent="0.35">
      <c r="A185" s="10" t="s">
        <v>282</v>
      </c>
      <c r="B185" s="33" t="s">
        <v>284</v>
      </c>
      <c r="C185" s="25"/>
      <c r="E185" s="23"/>
      <c r="F185" s="23"/>
      <c r="G185" s="23"/>
      <c r="H185" s="23"/>
    </row>
    <row r="186" spans="1:8" ht="29" x14ac:dyDescent="0.35">
      <c r="A186" s="12" t="s">
        <v>285</v>
      </c>
      <c r="B186" s="32"/>
      <c r="C186" s="7" t="s">
        <v>286</v>
      </c>
      <c r="E186" s="23"/>
      <c r="F186" s="23"/>
      <c r="G186" s="23"/>
      <c r="H186" s="23"/>
    </row>
    <row r="187" spans="1:8" x14ac:dyDescent="0.35">
      <c r="A187" s="9" t="s">
        <v>287</v>
      </c>
      <c r="B187" s="2" t="s">
        <v>288</v>
      </c>
      <c r="E187" s="23"/>
      <c r="F187" s="23"/>
      <c r="G187" s="23"/>
      <c r="H187" s="23"/>
    </row>
    <row r="188" spans="1:8" x14ac:dyDescent="0.35">
      <c r="A188" s="9" t="s">
        <v>287</v>
      </c>
      <c r="B188" s="2" t="s">
        <v>289</v>
      </c>
      <c r="E188" s="23" t="s">
        <v>63</v>
      </c>
      <c r="F188" s="23" t="s">
        <v>63</v>
      </c>
      <c r="G188" s="23" t="s">
        <v>63</v>
      </c>
      <c r="H188" s="23" t="s">
        <v>63</v>
      </c>
    </row>
    <row r="189" spans="1:8" x14ac:dyDescent="0.35">
      <c r="A189" s="9" t="s">
        <v>287</v>
      </c>
      <c r="B189" s="2" t="s">
        <v>290</v>
      </c>
      <c r="E189" s="23"/>
      <c r="F189" s="23"/>
      <c r="G189" s="23"/>
      <c r="H189" s="23"/>
    </row>
    <row r="190" spans="1:8" x14ac:dyDescent="0.35">
      <c r="A190" s="9" t="s">
        <v>287</v>
      </c>
      <c r="B190" s="2" t="s">
        <v>291</v>
      </c>
      <c r="E190" s="23"/>
      <c r="F190" s="23"/>
      <c r="G190" s="23"/>
      <c r="H190" s="23"/>
    </row>
    <row r="191" spans="1:8" x14ac:dyDescent="0.35">
      <c r="A191" s="9" t="s">
        <v>287</v>
      </c>
      <c r="B191" s="2" t="s">
        <v>102</v>
      </c>
      <c r="E191" s="23"/>
      <c r="F191" s="23"/>
      <c r="G191" s="23"/>
      <c r="H191" s="23"/>
    </row>
    <row r="192" spans="1:8" x14ac:dyDescent="0.35">
      <c r="A192" s="9" t="s">
        <v>287</v>
      </c>
      <c r="B192" s="2" t="s">
        <v>292</v>
      </c>
      <c r="E192" s="23"/>
      <c r="F192" s="23"/>
      <c r="G192" s="23"/>
      <c r="H192" s="23"/>
    </row>
    <row r="193" spans="1:9" x14ac:dyDescent="0.35">
      <c r="A193" s="9" t="s">
        <v>287</v>
      </c>
      <c r="B193" s="6" t="s">
        <v>57</v>
      </c>
      <c r="C193" s="6" t="s">
        <v>293</v>
      </c>
      <c r="D193" s="38" t="s">
        <v>294</v>
      </c>
      <c r="E193" s="23">
        <v>128</v>
      </c>
      <c r="F193" s="23">
        <v>125</v>
      </c>
      <c r="G193" s="23">
        <v>142</v>
      </c>
      <c r="H193" s="23">
        <v>105</v>
      </c>
    </row>
    <row r="194" spans="1:9" x14ac:dyDescent="0.35">
      <c r="A194" s="9" t="s">
        <v>287</v>
      </c>
      <c r="B194" s="6" t="s">
        <v>75</v>
      </c>
      <c r="C194" s="6" t="s">
        <v>295</v>
      </c>
      <c r="D194" s="38" t="s">
        <v>296</v>
      </c>
      <c r="E194" s="23">
        <v>26</v>
      </c>
      <c r="F194" s="23">
        <v>25</v>
      </c>
      <c r="G194" s="23">
        <v>28</v>
      </c>
      <c r="H194" s="23">
        <v>25</v>
      </c>
    </row>
    <row r="195" spans="1:9" x14ac:dyDescent="0.35">
      <c r="A195" s="9" t="s">
        <v>287</v>
      </c>
      <c r="B195" s="6" t="s">
        <v>100</v>
      </c>
      <c r="E195" s="23"/>
      <c r="F195" s="23"/>
      <c r="G195" s="23"/>
      <c r="H195" s="23"/>
    </row>
    <row r="196" spans="1:9" x14ac:dyDescent="0.35">
      <c r="A196" s="13" t="s">
        <v>15</v>
      </c>
      <c r="B196" s="34" t="s">
        <v>57</v>
      </c>
      <c r="C196" s="4"/>
      <c r="D196" s="38" t="s">
        <v>73</v>
      </c>
      <c r="E196" s="23" t="s">
        <v>63</v>
      </c>
      <c r="F196" s="23" t="s">
        <v>63</v>
      </c>
      <c r="G196" s="23">
        <v>49</v>
      </c>
      <c r="H196" s="23">
        <v>28</v>
      </c>
      <c r="I196" s="21" t="s">
        <v>297</v>
      </c>
    </row>
    <row r="197" spans="1:9" x14ac:dyDescent="0.35">
      <c r="A197" s="13" t="s">
        <v>15</v>
      </c>
      <c r="B197" s="56" t="s">
        <v>57</v>
      </c>
      <c r="C197" s="57"/>
      <c r="D197" s="38" t="s">
        <v>298</v>
      </c>
      <c r="E197" s="23">
        <v>44</v>
      </c>
      <c r="F197" s="23">
        <v>44</v>
      </c>
      <c r="G197" s="23">
        <v>53</v>
      </c>
      <c r="H197" s="23">
        <v>38</v>
      </c>
    </row>
    <row r="198" spans="1:9" x14ac:dyDescent="0.35">
      <c r="A198" s="13" t="s">
        <v>15</v>
      </c>
      <c r="B198" s="56" t="s">
        <v>299</v>
      </c>
      <c r="C198" s="57"/>
      <c r="D198" s="38" t="s">
        <v>300</v>
      </c>
      <c r="E198" s="23">
        <v>14</v>
      </c>
      <c r="F198" s="23">
        <v>13</v>
      </c>
      <c r="G198" s="23" t="s">
        <v>63</v>
      </c>
      <c r="H198" s="23" t="s">
        <v>63</v>
      </c>
    </row>
    <row r="199" spans="1:9" x14ac:dyDescent="0.35">
      <c r="A199" s="13" t="s">
        <v>15</v>
      </c>
      <c r="B199" s="56" t="s">
        <v>100</v>
      </c>
      <c r="C199" s="57"/>
      <c r="D199" s="38" t="s">
        <v>301</v>
      </c>
      <c r="E199" s="23" t="s">
        <v>63</v>
      </c>
      <c r="F199" s="23" t="s">
        <v>63</v>
      </c>
      <c r="G199" s="23" t="s">
        <v>63</v>
      </c>
      <c r="H199" s="23" t="s">
        <v>63</v>
      </c>
    </row>
    <row r="200" spans="1:9" x14ac:dyDescent="0.35">
      <c r="A200" s="13" t="s">
        <v>15</v>
      </c>
      <c r="B200" s="56" t="s">
        <v>60</v>
      </c>
      <c r="C200" s="57" t="s">
        <v>302</v>
      </c>
      <c r="D200" s="38" t="s">
        <v>303</v>
      </c>
      <c r="E200" s="23" t="s">
        <v>63</v>
      </c>
      <c r="F200" s="23" t="s">
        <v>63</v>
      </c>
      <c r="G200" s="23" t="s">
        <v>63</v>
      </c>
      <c r="H200" s="23" t="s">
        <v>63</v>
      </c>
    </row>
    <row r="201" spans="1:9" x14ac:dyDescent="0.35">
      <c r="A201" s="13" t="s">
        <v>15</v>
      </c>
      <c r="B201" s="56" t="s">
        <v>101</v>
      </c>
      <c r="C201" s="57" t="s">
        <v>304</v>
      </c>
      <c r="D201" s="38" t="s">
        <v>305</v>
      </c>
      <c r="E201" s="23" t="s">
        <v>63</v>
      </c>
      <c r="F201" s="23" t="s">
        <v>63</v>
      </c>
      <c r="G201" s="23" t="s">
        <v>63</v>
      </c>
      <c r="H201" s="23" t="s">
        <v>63</v>
      </c>
    </row>
    <row r="202" spans="1:9" x14ac:dyDescent="0.35">
      <c r="A202" s="13" t="s">
        <v>15</v>
      </c>
      <c r="B202" s="56" t="s">
        <v>101</v>
      </c>
      <c r="C202" s="57" t="s">
        <v>306</v>
      </c>
      <c r="D202" s="38" t="s">
        <v>307</v>
      </c>
      <c r="E202" s="23">
        <v>12</v>
      </c>
      <c r="F202" s="23">
        <v>11</v>
      </c>
      <c r="G202" s="23">
        <v>14</v>
      </c>
      <c r="H202" s="23">
        <v>7</v>
      </c>
    </row>
    <row r="203" spans="1:9" x14ac:dyDescent="0.35">
      <c r="A203" s="9" t="s">
        <v>308</v>
      </c>
      <c r="B203" s="37"/>
      <c r="C203" s="27"/>
      <c r="D203" s="42"/>
      <c r="E203" s="23"/>
      <c r="F203" s="23"/>
      <c r="G203" s="23"/>
      <c r="H203" s="23"/>
    </row>
    <row r="204" spans="1:9" x14ac:dyDescent="0.35">
      <c r="A204" s="54" t="s">
        <v>309</v>
      </c>
      <c r="B204" s="55" t="s">
        <v>75</v>
      </c>
      <c r="C204" s="3"/>
      <c r="D204" s="55" t="s">
        <v>310</v>
      </c>
      <c r="E204" s="21">
        <v>189</v>
      </c>
      <c r="F204" s="21">
        <v>189</v>
      </c>
      <c r="G204" s="21">
        <v>266</v>
      </c>
      <c r="H204" s="21">
        <v>176</v>
      </c>
    </row>
    <row r="205" spans="1:9" x14ac:dyDescent="0.35">
      <c r="A205" s="54" t="s">
        <v>309</v>
      </c>
      <c r="B205" s="55" t="s">
        <v>75</v>
      </c>
      <c r="C205" s="3"/>
      <c r="D205" s="55" t="s">
        <v>311</v>
      </c>
      <c r="E205" s="21" t="s">
        <v>63</v>
      </c>
      <c r="F205" s="21" t="s">
        <v>63</v>
      </c>
      <c r="G205" s="21">
        <v>68</v>
      </c>
      <c r="H205" s="74">
        <v>57</v>
      </c>
    </row>
    <row r="206" spans="1:9" x14ac:dyDescent="0.35">
      <c r="A206" s="54" t="s">
        <v>309</v>
      </c>
      <c r="B206" s="55" t="s">
        <v>75</v>
      </c>
      <c r="C206" s="3"/>
      <c r="D206" s="55" t="s">
        <v>312</v>
      </c>
      <c r="E206" s="21">
        <v>66</v>
      </c>
      <c r="F206" s="21">
        <v>66</v>
      </c>
      <c r="G206" s="21">
        <v>70</v>
      </c>
      <c r="H206" s="21">
        <v>50</v>
      </c>
    </row>
    <row r="207" spans="1:9" x14ac:dyDescent="0.35">
      <c r="A207" s="54" t="s">
        <v>309</v>
      </c>
      <c r="B207" s="55" t="s">
        <v>75</v>
      </c>
      <c r="C207" s="3"/>
      <c r="D207" s="55" t="s">
        <v>313</v>
      </c>
      <c r="E207" s="21">
        <v>25</v>
      </c>
      <c r="F207" s="21">
        <v>23</v>
      </c>
      <c r="G207" s="21">
        <v>28</v>
      </c>
      <c r="H207" s="21">
        <v>27</v>
      </c>
    </row>
    <row r="208" spans="1:9" x14ac:dyDescent="0.35">
      <c r="A208" s="54" t="s">
        <v>309</v>
      </c>
      <c r="B208" s="55" t="s">
        <v>75</v>
      </c>
      <c r="C208" s="3"/>
      <c r="D208" s="55" t="s">
        <v>314</v>
      </c>
      <c r="E208" s="21">
        <v>31</v>
      </c>
      <c r="F208" s="21">
        <v>30</v>
      </c>
      <c r="G208" s="21">
        <v>35</v>
      </c>
      <c r="H208" s="21">
        <v>31</v>
      </c>
    </row>
    <row r="209" spans="1:8" x14ac:dyDescent="0.35">
      <c r="A209" s="54" t="s">
        <v>309</v>
      </c>
      <c r="B209" s="55" t="s">
        <v>75</v>
      </c>
      <c r="C209" s="3"/>
      <c r="D209" s="55" t="s">
        <v>315</v>
      </c>
      <c r="E209" s="21">
        <v>123</v>
      </c>
      <c r="F209" s="21">
        <v>120</v>
      </c>
      <c r="G209" s="21">
        <v>138</v>
      </c>
      <c r="H209" s="21">
        <v>102</v>
      </c>
    </row>
    <row r="210" spans="1:8" x14ac:dyDescent="0.35">
      <c r="A210" s="54" t="s">
        <v>309</v>
      </c>
      <c r="B210" s="55" t="s">
        <v>75</v>
      </c>
      <c r="C210" s="3"/>
      <c r="D210" s="55" t="s">
        <v>316</v>
      </c>
      <c r="E210" s="21" t="s">
        <v>63</v>
      </c>
      <c r="F210" s="21" t="s">
        <v>63</v>
      </c>
      <c r="G210" s="21">
        <v>53</v>
      </c>
      <c r="H210" s="74">
        <v>47</v>
      </c>
    </row>
    <row r="211" spans="1:8" x14ac:dyDescent="0.35">
      <c r="A211" s="54" t="s">
        <v>309</v>
      </c>
      <c r="B211" s="55" t="s">
        <v>317</v>
      </c>
      <c r="C211" s="3"/>
      <c r="D211" s="55" t="s">
        <v>318</v>
      </c>
      <c r="E211" s="21">
        <v>54</v>
      </c>
      <c r="F211" s="21">
        <v>52</v>
      </c>
      <c r="G211" s="21">
        <v>63</v>
      </c>
      <c r="H211" s="21">
        <v>37</v>
      </c>
    </row>
    <row r="212" spans="1:8" x14ac:dyDescent="0.35">
      <c r="A212" s="54" t="s">
        <v>309</v>
      </c>
      <c r="B212" s="55" t="s">
        <v>75</v>
      </c>
      <c r="C212" s="3"/>
      <c r="D212" s="55" t="s">
        <v>319</v>
      </c>
      <c r="E212" s="21">
        <v>35</v>
      </c>
      <c r="F212" s="21">
        <v>33</v>
      </c>
      <c r="G212" s="21">
        <v>41</v>
      </c>
      <c r="H212" s="21">
        <v>31</v>
      </c>
    </row>
    <row r="213" spans="1:8" x14ac:dyDescent="0.35">
      <c r="A213" s="54" t="s">
        <v>309</v>
      </c>
      <c r="B213" s="55" t="s">
        <v>75</v>
      </c>
      <c r="C213" s="3"/>
      <c r="D213" s="55" t="s">
        <v>320</v>
      </c>
      <c r="E213" s="21">
        <v>142</v>
      </c>
      <c r="F213" s="21">
        <v>139</v>
      </c>
      <c r="G213" s="21">
        <v>159</v>
      </c>
      <c r="H213" s="21">
        <v>117</v>
      </c>
    </row>
    <row r="214" spans="1:8" x14ac:dyDescent="0.35">
      <c r="A214" s="54" t="s">
        <v>309</v>
      </c>
      <c r="B214" s="55" t="s">
        <v>75</v>
      </c>
      <c r="C214" s="3"/>
      <c r="D214" s="55" t="s">
        <v>321</v>
      </c>
      <c r="E214" s="21">
        <v>22</v>
      </c>
      <c r="F214" s="21">
        <v>22</v>
      </c>
      <c r="G214" s="21">
        <v>26</v>
      </c>
      <c r="H214" s="21">
        <v>25</v>
      </c>
    </row>
    <row r="215" spans="1:8" x14ac:dyDescent="0.35">
      <c r="A215" s="54" t="s">
        <v>309</v>
      </c>
      <c r="B215" s="55" t="s">
        <v>57</v>
      </c>
      <c r="C215" s="3"/>
      <c r="D215" s="55" t="s">
        <v>322</v>
      </c>
      <c r="E215" s="21">
        <v>52</v>
      </c>
      <c r="F215" s="21">
        <v>48</v>
      </c>
      <c r="G215" s="21">
        <v>84</v>
      </c>
      <c r="H215" s="21">
        <v>64</v>
      </c>
    </row>
    <row r="216" spans="1:8" x14ac:dyDescent="0.35">
      <c r="A216" s="54" t="s">
        <v>309</v>
      </c>
      <c r="B216" s="55" t="s">
        <v>57</v>
      </c>
      <c r="C216" s="3"/>
      <c r="D216" s="55" t="s">
        <v>323</v>
      </c>
      <c r="E216" s="21">
        <v>63</v>
      </c>
      <c r="F216" s="21">
        <v>57</v>
      </c>
      <c r="G216" s="21">
        <v>71</v>
      </c>
      <c r="H216" s="21">
        <v>55</v>
      </c>
    </row>
    <row r="217" spans="1:8" x14ac:dyDescent="0.35">
      <c r="A217" s="54" t="s">
        <v>309</v>
      </c>
      <c r="B217" s="55" t="s">
        <v>57</v>
      </c>
      <c r="C217" s="3"/>
      <c r="D217" s="55" t="s">
        <v>324</v>
      </c>
      <c r="E217" s="21">
        <v>64</v>
      </c>
      <c r="F217" s="21">
        <v>60</v>
      </c>
      <c r="G217" s="21">
        <v>72</v>
      </c>
      <c r="H217" s="21">
        <v>49</v>
      </c>
    </row>
    <row r="218" spans="1:8" x14ac:dyDescent="0.35">
      <c r="A218" s="54" t="s">
        <v>309</v>
      </c>
      <c r="B218" s="55" t="s">
        <v>57</v>
      </c>
      <c r="C218" s="3"/>
      <c r="D218" s="55" t="s">
        <v>325</v>
      </c>
      <c r="E218" s="21">
        <v>27</v>
      </c>
      <c r="F218" s="21">
        <v>27</v>
      </c>
      <c r="G218" s="21">
        <v>28</v>
      </c>
      <c r="H218" s="21">
        <v>28</v>
      </c>
    </row>
    <row r="219" spans="1:8" x14ac:dyDescent="0.35">
      <c r="A219" s="54" t="s">
        <v>309</v>
      </c>
      <c r="B219" s="55" t="s">
        <v>57</v>
      </c>
      <c r="C219" s="3"/>
      <c r="D219" s="55" t="s">
        <v>326</v>
      </c>
      <c r="E219" s="21">
        <v>71</v>
      </c>
      <c r="F219" s="21">
        <v>67</v>
      </c>
      <c r="G219" s="21">
        <v>91</v>
      </c>
      <c r="H219" s="21">
        <v>72</v>
      </c>
    </row>
    <row r="220" spans="1:8" x14ac:dyDescent="0.35">
      <c r="A220" s="54" t="s">
        <v>309</v>
      </c>
      <c r="B220" s="55" t="s">
        <v>57</v>
      </c>
      <c r="C220" s="3"/>
      <c r="D220" s="55" t="s">
        <v>327</v>
      </c>
      <c r="E220" s="21" t="s">
        <v>63</v>
      </c>
      <c r="F220" s="21" t="s">
        <v>63</v>
      </c>
      <c r="G220" s="21">
        <v>42</v>
      </c>
      <c r="H220" s="74">
        <v>34</v>
      </c>
    </row>
    <row r="221" spans="1:8" x14ac:dyDescent="0.35">
      <c r="A221" s="54" t="s">
        <v>309</v>
      </c>
      <c r="B221" s="55" t="s">
        <v>224</v>
      </c>
      <c r="C221" s="3"/>
      <c r="D221" s="55" t="s">
        <v>328</v>
      </c>
      <c r="E221" s="21" t="s">
        <v>63</v>
      </c>
      <c r="F221" s="21" t="s">
        <v>63</v>
      </c>
      <c r="G221" s="21" t="s">
        <v>63</v>
      </c>
      <c r="H221" s="21" t="s">
        <v>63</v>
      </c>
    </row>
    <row r="222" spans="1:8" x14ac:dyDescent="0.35">
      <c r="A222" s="54" t="s">
        <v>309</v>
      </c>
      <c r="B222" s="55" t="s">
        <v>224</v>
      </c>
      <c r="C222" s="3"/>
      <c r="D222" s="55" t="s">
        <v>329</v>
      </c>
      <c r="E222" s="21">
        <v>34</v>
      </c>
      <c r="F222" s="21">
        <v>33</v>
      </c>
      <c r="G222" s="21" t="s">
        <v>63</v>
      </c>
      <c r="H222" s="21" t="s">
        <v>63</v>
      </c>
    </row>
    <row r="223" spans="1:8" x14ac:dyDescent="0.35">
      <c r="A223" s="54" t="s">
        <v>309</v>
      </c>
      <c r="B223" s="55" t="s">
        <v>224</v>
      </c>
      <c r="C223" s="3"/>
      <c r="D223" s="55" t="s">
        <v>330</v>
      </c>
      <c r="E223" s="21">
        <v>31</v>
      </c>
      <c r="F223" s="21">
        <v>30</v>
      </c>
      <c r="G223" s="21">
        <v>34</v>
      </c>
      <c r="H223" s="21">
        <v>33</v>
      </c>
    </row>
    <row r="224" spans="1:8" x14ac:dyDescent="0.35">
      <c r="A224" s="54" t="s">
        <v>309</v>
      </c>
      <c r="B224" s="55" t="s">
        <v>224</v>
      </c>
      <c r="C224" s="3"/>
      <c r="D224" s="55" t="s">
        <v>331</v>
      </c>
      <c r="E224" s="21" t="s">
        <v>63</v>
      </c>
      <c r="F224" s="21" t="s">
        <v>63</v>
      </c>
      <c r="G224" s="21">
        <v>67</v>
      </c>
      <c r="H224" s="74">
        <v>39</v>
      </c>
    </row>
    <row r="225" spans="1:8" x14ac:dyDescent="0.35">
      <c r="A225" s="54" t="s">
        <v>309</v>
      </c>
      <c r="B225" s="55" t="s">
        <v>224</v>
      </c>
      <c r="C225" s="3"/>
      <c r="D225" s="55" t="s">
        <v>332</v>
      </c>
      <c r="E225" s="21" t="s">
        <v>63</v>
      </c>
      <c r="F225" s="21" t="s">
        <v>63</v>
      </c>
      <c r="G225" s="21">
        <v>65</v>
      </c>
      <c r="H225" s="74">
        <v>43</v>
      </c>
    </row>
    <row r="226" spans="1:8" x14ac:dyDescent="0.35">
      <c r="A226" s="54" t="s">
        <v>309</v>
      </c>
      <c r="B226" s="55" t="s">
        <v>224</v>
      </c>
      <c r="C226" s="3"/>
      <c r="D226" s="55" t="s">
        <v>333</v>
      </c>
      <c r="E226" s="21">
        <v>22</v>
      </c>
      <c r="F226" s="21">
        <v>21</v>
      </c>
      <c r="G226" s="21">
        <v>24</v>
      </c>
      <c r="H226" s="21">
        <v>21</v>
      </c>
    </row>
    <row r="227" spans="1:8" x14ac:dyDescent="0.35">
      <c r="A227" s="54" t="s">
        <v>309</v>
      </c>
      <c r="B227" s="55" t="s">
        <v>334</v>
      </c>
      <c r="C227" s="3"/>
      <c r="D227" s="55" t="s">
        <v>335</v>
      </c>
      <c r="E227" s="21" t="s">
        <v>63</v>
      </c>
      <c r="F227" s="21" t="s">
        <v>63</v>
      </c>
      <c r="G227" s="21">
        <v>42</v>
      </c>
      <c r="H227" s="74">
        <v>34</v>
      </c>
    </row>
    <row r="228" spans="1:8" x14ac:dyDescent="0.35">
      <c r="A228" s="54" t="s">
        <v>309</v>
      </c>
      <c r="B228" s="55" t="s">
        <v>334</v>
      </c>
      <c r="C228" s="3"/>
      <c r="D228" s="55" t="s">
        <v>336</v>
      </c>
      <c r="E228" s="21">
        <v>69</v>
      </c>
      <c r="F228" s="21">
        <v>61</v>
      </c>
      <c r="G228" s="21">
        <v>73</v>
      </c>
      <c r="H228" s="21">
        <v>39</v>
      </c>
    </row>
    <row r="229" spans="1:8" x14ac:dyDescent="0.35">
      <c r="A229" s="54" t="s">
        <v>309</v>
      </c>
      <c r="B229" s="55" t="s">
        <v>334</v>
      </c>
      <c r="C229" s="3"/>
      <c r="D229" s="55" t="s">
        <v>337</v>
      </c>
      <c r="E229" s="21" t="s">
        <v>63</v>
      </c>
      <c r="F229" s="21" t="s">
        <v>63</v>
      </c>
      <c r="G229" s="21" t="s">
        <v>63</v>
      </c>
      <c r="H229" s="21" t="s">
        <v>63</v>
      </c>
    </row>
    <row r="230" spans="1:8" x14ac:dyDescent="0.35">
      <c r="A230" s="54" t="s">
        <v>309</v>
      </c>
      <c r="B230" s="55" t="s">
        <v>338</v>
      </c>
      <c r="C230" s="3"/>
      <c r="D230" s="55" t="s">
        <v>339</v>
      </c>
      <c r="E230" s="21" t="s">
        <v>63</v>
      </c>
      <c r="F230" s="21" t="s">
        <v>63</v>
      </c>
      <c r="G230" s="21">
        <v>56</v>
      </c>
      <c r="H230" s="74">
        <v>38</v>
      </c>
    </row>
    <row r="231" spans="1:8" x14ac:dyDescent="0.35">
      <c r="A231" s="54" t="s">
        <v>309</v>
      </c>
      <c r="B231" s="55" t="s">
        <v>338</v>
      </c>
      <c r="C231" s="3"/>
      <c r="D231" s="55" t="s">
        <v>340</v>
      </c>
      <c r="E231" s="21">
        <v>40</v>
      </c>
      <c r="F231" s="21">
        <v>36</v>
      </c>
      <c r="G231" s="21">
        <v>44</v>
      </c>
      <c r="H231" s="21">
        <v>35</v>
      </c>
    </row>
    <row r="232" spans="1:8" x14ac:dyDescent="0.35">
      <c r="A232" s="54" t="s">
        <v>309</v>
      </c>
      <c r="B232" s="55" t="s">
        <v>338</v>
      </c>
      <c r="C232" s="3"/>
      <c r="D232" s="55" t="s">
        <v>341</v>
      </c>
      <c r="E232" s="21" t="s">
        <v>63</v>
      </c>
      <c r="F232" s="21" t="s">
        <v>63</v>
      </c>
      <c r="G232" s="21">
        <v>26</v>
      </c>
      <c r="H232" s="74">
        <v>22</v>
      </c>
    </row>
    <row r="233" spans="1:8" x14ac:dyDescent="0.35">
      <c r="A233" s="54" t="s">
        <v>309</v>
      </c>
      <c r="B233" s="55" t="s">
        <v>338</v>
      </c>
      <c r="C233" s="3"/>
      <c r="D233" s="55" t="s">
        <v>342</v>
      </c>
      <c r="E233" s="21" t="s">
        <v>63</v>
      </c>
      <c r="F233" s="21" t="s">
        <v>63</v>
      </c>
      <c r="G233" s="21">
        <v>32</v>
      </c>
      <c r="H233" s="74">
        <v>24</v>
      </c>
    </row>
    <row r="234" spans="1:8" x14ac:dyDescent="0.35">
      <c r="A234" s="54" t="s">
        <v>309</v>
      </c>
      <c r="B234" s="55" t="s">
        <v>343</v>
      </c>
      <c r="C234" s="3"/>
      <c r="D234" s="55" t="s">
        <v>344</v>
      </c>
      <c r="E234" s="21">
        <v>28</v>
      </c>
      <c r="F234" s="21">
        <v>26</v>
      </c>
      <c r="G234" s="21" t="s">
        <v>63</v>
      </c>
      <c r="H234" s="21" t="s">
        <v>63</v>
      </c>
    </row>
    <row r="235" spans="1:8" x14ac:dyDescent="0.35">
      <c r="A235" s="54" t="s">
        <v>309</v>
      </c>
      <c r="B235" s="55" t="s">
        <v>343</v>
      </c>
      <c r="C235" s="3"/>
      <c r="D235" s="55" t="s">
        <v>345</v>
      </c>
      <c r="E235" s="21" t="s">
        <v>63</v>
      </c>
      <c r="F235" s="21" t="s">
        <v>63</v>
      </c>
      <c r="G235" s="21">
        <v>51</v>
      </c>
      <c r="H235" s="74">
        <v>42</v>
      </c>
    </row>
    <row r="236" spans="1:8" x14ac:dyDescent="0.35">
      <c r="A236" s="54" t="s">
        <v>309</v>
      </c>
      <c r="B236" s="55" t="s">
        <v>346</v>
      </c>
      <c r="C236" s="3"/>
      <c r="D236" s="55" t="s">
        <v>347</v>
      </c>
      <c r="E236" s="21">
        <v>54</v>
      </c>
      <c r="F236" s="21">
        <v>51</v>
      </c>
      <c r="G236" s="21">
        <v>63</v>
      </c>
      <c r="H236" s="21">
        <v>35</v>
      </c>
    </row>
    <row r="237" spans="1:8" x14ac:dyDescent="0.35">
      <c r="A237" s="54" t="s">
        <v>309</v>
      </c>
      <c r="B237" s="55" t="s">
        <v>348</v>
      </c>
      <c r="C237" s="55" t="s">
        <v>349</v>
      </c>
      <c r="D237" s="55" t="s">
        <v>350</v>
      </c>
      <c r="E237" s="21">
        <v>51</v>
      </c>
      <c r="F237" s="21">
        <v>48</v>
      </c>
      <c r="G237" s="21">
        <v>61</v>
      </c>
      <c r="H237" s="21">
        <v>45</v>
      </c>
    </row>
    <row r="238" spans="1:8" x14ac:dyDescent="0.35">
      <c r="A238" s="54" t="s">
        <v>309</v>
      </c>
      <c r="B238" s="55" t="s">
        <v>351</v>
      </c>
      <c r="C238" s="3"/>
      <c r="D238" s="55" t="s">
        <v>352</v>
      </c>
      <c r="E238" s="21" t="s">
        <v>63</v>
      </c>
      <c r="F238" s="21" t="s">
        <v>63</v>
      </c>
      <c r="G238" s="21" t="s">
        <v>63</v>
      </c>
      <c r="H238" s="21" t="s">
        <v>63</v>
      </c>
    </row>
    <row r="239" spans="1:8" x14ac:dyDescent="0.35">
      <c r="A239" s="54" t="s">
        <v>309</v>
      </c>
      <c r="B239" s="55" t="s">
        <v>353</v>
      </c>
      <c r="C239" s="3"/>
      <c r="D239" s="55" t="s">
        <v>354</v>
      </c>
      <c r="E239" s="21">
        <v>35</v>
      </c>
      <c r="F239" s="21">
        <v>34</v>
      </c>
      <c r="G239" s="21">
        <v>41</v>
      </c>
      <c r="H239" s="21">
        <v>36</v>
      </c>
    </row>
    <row r="240" spans="1:8" x14ac:dyDescent="0.35">
      <c r="A240" s="54" t="s">
        <v>309</v>
      </c>
      <c r="B240" s="55" t="s">
        <v>353</v>
      </c>
      <c r="C240" s="3"/>
      <c r="D240" s="55" t="s">
        <v>355</v>
      </c>
      <c r="E240" s="21" t="s">
        <v>63</v>
      </c>
      <c r="F240" s="21" t="s">
        <v>63</v>
      </c>
      <c r="G240" s="21" t="s">
        <v>63</v>
      </c>
      <c r="H240" s="21" t="s">
        <v>63</v>
      </c>
    </row>
    <row r="241" spans="1:8" x14ac:dyDescent="0.35">
      <c r="A241" s="54" t="s">
        <v>309</v>
      </c>
      <c r="B241" s="55" t="s">
        <v>356</v>
      </c>
      <c r="C241" s="3"/>
      <c r="D241" s="55" t="s">
        <v>357</v>
      </c>
      <c r="E241" s="21">
        <v>35</v>
      </c>
      <c r="F241" s="21">
        <v>31</v>
      </c>
      <c r="G241" s="21">
        <v>41</v>
      </c>
      <c r="H241" s="21">
        <v>25</v>
      </c>
    </row>
    <row r="242" spans="1:8" ht="29" x14ac:dyDescent="0.35">
      <c r="A242" s="12" t="s">
        <v>358</v>
      </c>
      <c r="B242" s="53"/>
      <c r="C242" s="7" t="s">
        <v>359</v>
      </c>
      <c r="E242" s="26"/>
      <c r="F242" s="26"/>
      <c r="G242" s="26"/>
      <c r="H242" s="26"/>
    </row>
    <row r="243" spans="1:8" x14ac:dyDescent="0.35">
      <c r="A243" s="10" t="s">
        <v>360</v>
      </c>
      <c r="B243" s="30" t="s">
        <v>57</v>
      </c>
      <c r="C243" s="2" t="s">
        <v>361</v>
      </c>
      <c r="D243" s="38" t="s">
        <v>362</v>
      </c>
      <c r="E243" s="21">
        <v>60</v>
      </c>
      <c r="F243" s="21">
        <v>55</v>
      </c>
      <c r="G243" s="21" t="s">
        <v>63</v>
      </c>
      <c r="H243" s="21" t="s">
        <v>63</v>
      </c>
    </row>
    <row r="244" spans="1:8" x14ac:dyDescent="0.35">
      <c r="A244" s="10" t="s">
        <v>360</v>
      </c>
      <c r="B244" s="30" t="s">
        <v>363</v>
      </c>
      <c r="C244" s="2" t="s">
        <v>364</v>
      </c>
      <c r="D244" s="38" t="s">
        <v>365</v>
      </c>
      <c r="E244" s="21">
        <v>2</v>
      </c>
      <c r="F244" s="21">
        <v>2</v>
      </c>
      <c r="G244" s="21">
        <v>89</v>
      </c>
      <c r="H244" s="21">
        <v>58</v>
      </c>
    </row>
    <row r="245" spans="1:8" x14ac:dyDescent="0.35">
      <c r="A245" s="10" t="s">
        <v>360</v>
      </c>
      <c r="B245" s="30" t="s">
        <v>366</v>
      </c>
      <c r="C245" s="2" t="s">
        <v>367</v>
      </c>
      <c r="D245" s="38" t="s">
        <v>368</v>
      </c>
      <c r="E245" s="21">
        <v>20</v>
      </c>
      <c r="F245" s="21">
        <v>19</v>
      </c>
      <c r="G245" s="21" t="s">
        <v>63</v>
      </c>
      <c r="H245" s="21" t="s">
        <v>63</v>
      </c>
    </row>
    <row r="246" spans="1:8" ht="30" customHeight="1" x14ac:dyDescent="0.35">
      <c r="A246" s="10" t="s">
        <v>360</v>
      </c>
      <c r="B246" s="30" t="s">
        <v>224</v>
      </c>
      <c r="C246" s="25" t="s">
        <v>369</v>
      </c>
      <c r="D246" s="42" t="s">
        <v>370</v>
      </c>
      <c r="E246" s="23"/>
      <c r="F246" s="23"/>
      <c r="G246" s="23"/>
      <c r="H246" s="23"/>
    </row>
    <row r="247" spans="1:8" x14ac:dyDescent="0.35">
      <c r="A247" s="10" t="s">
        <v>360</v>
      </c>
      <c r="B247" s="30" t="s">
        <v>60</v>
      </c>
      <c r="C247" s="2" t="s">
        <v>371</v>
      </c>
      <c r="D247" s="38" t="s">
        <v>60</v>
      </c>
      <c r="E247" s="21">
        <v>21</v>
      </c>
      <c r="F247" s="21">
        <v>19</v>
      </c>
      <c r="G247" s="21" t="s">
        <v>63</v>
      </c>
      <c r="H247" s="21" t="s">
        <v>63</v>
      </c>
    </row>
    <row r="248" spans="1:8" x14ac:dyDescent="0.35">
      <c r="A248" s="10" t="s">
        <v>372</v>
      </c>
      <c r="B248" s="30"/>
      <c r="C248" s="2" t="s">
        <v>373</v>
      </c>
      <c r="D248" s="38" t="s">
        <v>374</v>
      </c>
      <c r="E248" s="21">
        <v>25</v>
      </c>
      <c r="F248" s="21">
        <v>24</v>
      </c>
      <c r="G248" s="21">
        <v>27</v>
      </c>
      <c r="H248" s="21">
        <v>26</v>
      </c>
    </row>
    <row r="249" spans="1:8" x14ac:dyDescent="0.35">
      <c r="A249" s="10" t="s">
        <v>372</v>
      </c>
      <c r="B249" s="30" t="s">
        <v>375</v>
      </c>
      <c r="C249" s="2" t="s">
        <v>376</v>
      </c>
      <c r="D249" s="38" t="s">
        <v>375</v>
      </c>
      <c r="E249" s="21" t="s">
        <v>63</v>
      </c>
      <c r="F249" s="21" t="s">
        <v>63</v>
      </c>
      <c r="G249" s="21" t="s">
        <v>63</v>
      </c>
      <c r="H249" s="21" t="s">
        <v>63</v>
      </c>
    </row>
    <row r="250" spans="1:8" x14ac:dyDescent="0.35">
      <c r="A250" s="10" t="s">
        <v>372</v>
      </c>
      <c r="B250" s="30" t="s">
        <v>57</v>
      </c>
      <c r="C250" s="2" t="s">
        <v>377</v>
      </c>
      <c r="D250" s="38" t="s">
        <v>128</v>
      </c>
      <c r="E250" s="21">
        <v>18</v>
      </c>
      <c r="F250" s="21">
        <v>16</v>
      </c>
      <c r="G250" s="21">
        <v>22</v>
      </c>
      <c r="H250" s="21">
        <v>19</v>
      </c>
    </row>
    <row r="251" spans="1:8" x14ac:dyDescent="0.35">
      <c r="A251" s="10" t="s">
        <v>372</v>
      </c>
      <c r="B251" s="30" t="s">
        <v>57</v>
      </c>
      <c r="C251" s="2" t="s">
        <v>378</v>
      </c>
      <c r="D251" s="38" t="s">
        <v>75</v>
      </c>
      <c r="E251" s="21">
        <v>37</v>
      </c>
      <c r="F251" s="21">
        <v>34</v>
      </c>
      <c r="G251" s="21">
        <v>40</v>
      </c>
      <c r="H251" s="21">
        <v>30</v>
      </c>
    </row>
    <row r="252" spans="1:8" x14ac:dyDescent="0.35">
      <c r="A252" s="10" t="s">
        <v>372</v>
      </c>
      <c r="B252" s="30" t="s">
        <v>75</v>
      </c>
      <c r="C252" s="2" t="s">
        <v>379</v>
      </c>
      <c r="D252" s="38" t="s">
        <v>75</v>
      </c>
      <c r="E252" s="21">
        <v>36</v>
      </c>
      <c r="F252" s="21">
        <v>33</v>
      </c>
      <c r="G252" s="21">
        <v>49</v>
      </c>
      <c r="H252" s="21">
        <v>29</v>
      </c>
    </row>
    <row r="253" spans="1:8" x14ac:dyDescent="0.35">
      <c r="A253" s="10" t="s">
        <v>372</v>
      </c>
      <c r="B253" s="30" t="s">
        <v>75</v>
      </c>
      <c r="C253" s="2" t="s">
        <v>380</v>
      </c>
      <c r="D253" s="38" t="s">
        <v>75</v>
      </c>
      <c r="E253" s="21" t="s">
        <v>63</v>
      </c>
      <c r="F253" s="21" t="s">
        <v>63</v>
      </c>
      <c r="G253" s="21">
        <v>47</v>
      </c>
      <c r="H253" s="74">
        <v>34</v>
      </c>
    </row>
    <row r="254" spans="1:8" x14ac:dyDescent="0.35">
      <c r="A254" s="10" t="s">
        <v>372</v>
      </c>
      <c r="B254" s="30" t="s">
        <v>75</v>
      </c>
      <c r="C254" s="2" t="s">
        <v>381</v>
      </c>
      <c r="D254" s="38" t="s">
        <v>75</v>
      </c>
      <c r="E254" s="21">
        <v>50</v>
      </c>
      <c r="F254" s="21">
        <v>48</v>
      </c>
      <c r="G254" s="21">
        <v>56</v>
      </c>
      <c r="H254" s="21">
        <v>46</v>
      </c>
    </row>
    <row r="255" spans="1:8" x14ac:dyDescent="0.35">
      <c r="A255" s="10" t="s">
        <v>372</v>
      </c>
      <c r="B255" s="30" t="s">
        <v>102</v>
      </c>
      <c r="C255" s="2" t="s">
        <v>382</v>
      </c>
      <c r="D255" s="38" t="s">
        <v>383</v>
      </c>
      <c r="E255" s="21" t="s">
        <v>63</v>
      </c>
      <c r="F255" s="21" t="s">
        <v>63</v>
      </c>
      <c r="G255" s="21" t="s">
        <v>63</v>
      </c>
      <c r="H255" s="21" t="s">
        <v>63</v>
      </c>
    </row>
    <row r="256" spans="1:8" x14ac:dyDescent="0.35">
      <c r="A256" s="10" t="s">
        <v>372</v>
      </c>
      <c r="B256" s="30" t="s">
        <v>103</v>
      </c>
      <c r="C256" s="2" t="s">
        <v>384</v>
      </c>
      <c r="D256" s="38" t="s">
        <v>103</v>
      </c>
      <c r="E256" s="21" t="s">
        <v>63</v>
      </c>
      <c r="F256" s="21" t="s">
        <v>63</v>
      </c>
      <c r="G256" s="21" t="s">
        <v>63</v>
      </c>
      <c r="H256" s="21" t="s">
        <v>63</v>
      </c>
    </row>
    <row r="257" spans="1:8" x14ac:dyDescent="0.35">
      <c r="A257" s="10" t="s">
        <v>372</v>
      </c>
      <c r="B257" s="6" t="s">
        <v>75</v>
      </c>
      <c r="C257" s="6" t="s">
        <v>385</v>
      </c>
      <c r="D257" s="38" t="s">
        <v>75</v>
      </c>
      <c r="E257" s="21" t="s">
        <v>63</v>
      </c>
      <c r="F257" s="21" t="s">
        <v>63</v>
      </c>
      <c r="G257" s="21">
        <v>44</v>
      </c>
      <c r="H257" s="74">
        <v>37</v>
      </c>
    </row>
    <row r="258" spans="1:8" x14ac:dyDescent="0.35">
      <c r="A258" s="10" t="s">
        <v>372</v>
      </c>
      <c r="B258" s="6" t="s">
        <v>57</v>
      </c>
      <c r="C258" s="6" t="s">
        <v>386</v>
      </c>
      <c r="D258" s="38" t="s">
        <v>128</v>
      </c>
      <c r="E258" s="21">
        <v>69</v>
      </c>
      <c r="F258" s="21">
        <v>67</v>
      </c>
      <c r="G258" s="21">
        <v>80</v>
      </c>
      <c r="H258" s="21">
        <v>41</v>
      </c>
    </row>
    <row r="259" spans="1:8" x14ac:dyDescent="0.35">
      <c r="A259" s="10" t="s">
        <v>387</v>
      </c>
      <c r="B259" s="30"/>
      <c r="C259" s="25"/>
      <c r="E259" s="23"/>
      <c r="F259" s="23"/>
      <c r="G259" s="23"/>
      <c r="H259" s="23"/>
    </row>
    <row r="260" spans="1:8" x14ac:dyDescent="0.35">
      <c r="A260" s="10" t="s">
        <v>388</v>
      </c>
      <c r="B260" s="30"/>
      <c r="C260" s="25"/>
      <c r="E260" s="23"/>
      <c r="F260" s="23"/>
      <c r="G260" s="23"/>
      <c r="H260" s="23"/>
    </row>
    <row r="261" spans="1:8" x14ac:dyDescent="0.35">
      <c r="A261" s="10" t="s">
        <v>389</v>
      </c>
      <c r="B261" s="30" t="s">
        <v>75</v>
      </c>
      <c r="C261" s="2" t="s">
        <v>390</v>
      </c>
      <c r="D261" s="38" t="s">
        <v>281</v>
      </c>
      <c r="E261" s="21" t="s">
        <v>63</v>
      </c>
      <c r="F261" s="21" t="s">
        <v>63</v>
      </c>
      <c r="G261" s="21">
        <v>76</v>
      </c>
      <c r="H261" s="74">
        <v>48</v>
      </c>
    </row>
    <row r="262" spans="1:8" x14ac:dyDescent="0.35">
      <c r="A262" s="10" t="s">
        <v>389</v>
      </c>
      <c r="B262" s="35" t="s">
        <v>57</v>
      </c>
      <c r="C262" s="5" t="s">
        <v>391</v>
      </c>
      <c r="D262" s="38" t="s">
        <v>392</v>
      </c>
      <c r="E262" s="21">
        <v>86</v>
      </c>
      <c r="F262" s="21">
        <v>84</v>
      </c>
      <c r="G262" s="21">
        <v>104</v>
      </c>
      <c r="H262" s="21">
        <v>81</v>
      </c>
    </row>
    <row r="263" spans="1:8" x14ac:dyDescent="0.35">
      <c r="A263" s="10" t="s">
        <v>389</v>
      </c>
      <c r="B263" s="35" t="s">
        <v>224</v>
      </c>
      <c r="C263" s="5" t="s">
        <v>393</v>
      </c>
      <c r="D263" s="38" t="s">
        <v>280</v>
      </c>
      <c r="E263" s="21">
        <v>54</v>
      </c>
      <c r="F263" s="21">
        <v>50</v>
      </c>
      <c r="G263" s="21">
        <v>59</v>
      </c>
      <c r="H263" s="21">
        <v>55</v>
      </c>
    </row>
    <row r="264" spans="1:8" x14ac:dyDescent="0.35">
      <c r="A264" s="15" t="s">
        <v>21</v>
      </c>
      <c r="B264" s="35" t="s">
        <v>57</v>
      </c>
      <c r="C264" s="44"/>
      <c r="D264" s="5" t="s">
        <v>394</v>
      </c>
      <c r="E264" s="21" t="s">
        <v>63</v>
      </c>
      <c r="F264" s="21" t="s">
        <v>63</v>
      </c>
      <c r="G264" s="21" t="s">
        <v>63</v>
      </c>
      <c r="H264" s="21" t="s">
        <v>63</v>
      </c>
    </row>
    <row r="265" spans="1:8" x14ac:dyDescent="0.35">
      <c r="A265" s="15" t="s">
        <v>21</v>
      </c>
      <c r="B265" s="35" t="s">
        <v>57</v>
      </c>
      <c r="C265" s="44"/>
      <c r="D265" s="5" t="s">
        <v>395</v>
      </c>
      <c r="E265" s="21">
        <v>58</v>
      </c>
      <c r="F265" s="21">
        <v>56</v>
      </c>
      <c r="G265" s="21">
        <v>79</v>
      </c>
      <c r="H265" s="74">
        <v>56</v>
      </c>
    </row>
    <row r="266" spans="1:8" x14ac:dyDescent="0.35">
      <c r="A266" s="15" t="s">
        <v>21</v>
      </c>
      <c r="B266" s="35" t="s">
        <v>57</v>
      </c>
      <c r="C266" s="44"/>
      <c r="D266" s="5" t="s">
        <v>396</v>
      </c>
      <c r="E266" s="21" t="s">
        <v>63</v>
      </c>
      <c r="F266" s="21" t="s">
        <v>63</v>
      </c>
      <c r="G266" s="21" t="s">
        <v>63</v>
      </c>
      <c r="H266" s="21" t="s">
        <v>63</v>
      </c>
    </row>
    <row r="267" spans="1:8" x14ac:dyDescent="0.35">
      <c r="A267" s="15" t="s">
        <v>21</v>
      </c>
      <c r="B267" s="35" t="s">
        <v>57</v>
      </c>
      <c r="C267" s="44"/>
      <c r="D267" s="5" t="s">
        <v>397</v>
      </c>
      <c r="E267" s="21">
        <v>35</v>
      </c>
      <c r="F267" s="21">
        <v>33</v>
      </c>
      <c r="G267" s="21">
        <v>49</v>
      </c>
      <c r="H267" s="21">
        <v>34</v>
      </c>
    </row>
    <row r="268" spans="1:8" x14ac:dyDescent="0.35">
      <c r="A268" s="15" t="s">
        <v>21</v>
      </c>
      <c r="B268" s="35" t="s">
        <v>57</v>
      </c>
      <c r="C268" s="44"/>
      <c r="D268" s="5" t="s">
        <v>398</v>
      </c>
      <c r="E268" s="21" t="s">
        <v>63</v>
      </c>
      <c r="F268" s="21" t="s">
        <v>63</v>
      </c>
      <c r="G268" s="21" t="s">
        <v>63</v>
      </c>
      <c r="H268" s="21" t="s">
        <v>63</v>
      </c>
    </row>
    <row r="269" spans="1:8" x14ac:dyDescent="0.35">
      <c r="A269" s="15" t="s">
        <v>21</v>
      </c>
      <c r="B269" s="35" t="s">
        <v>57</v>
      </c>
      <c r="C269" s="44"/>
      <c r="D269" s="5" t="s">
        <v>399</v>
      </c>
      <c r="E269" s="21" t="s">
        <v>63</v>
      </c>
      <c r="F269" s="21" t="s">
        <v>63</v>
      </c>
      <c r="G269" s="21" t="s">
        <v>63</v>
      </c>
      <c r="H269" s="21" t="s">
        <v>63</v>
      </c>
    </row>
    <row r="270" spans="1:8" x14ac:dyDescent="0.35">
      <c r="A270" s="15" t="s">
        <v>21</v>
      </c>
      <c r="B270" s="35" t="s">
        <v>57</v>
      </c>
      <c r="C270" s="44"/>
      <c r="D270" s="5" t="s">
        <v>400</v>
      </c>
      <c r="E270" s="21" t="s">
        <v>63</v>
      </c>
      <c r="F270" s="21" t="s">
        <v>63</v>
      </c>
      <c r="G270" s="21">
        <v>46</v>
      </c>
      <c r="H270" s="74">
        <v>34</v>
      </c>
    </row>
    <row r="271" spans="1:8" x14ac:dyDescent="0.35">
      <c r="A271" s="15" t="s">
        <v>21</v>
      </c>
      <c r="B271" s="35" t="s">
        <v>57</v>
      </c>
      <c r="C271" s="44"/>
      <c r="D271" s="5" t="s">
        <v>401</v>
      </c>
      <c r="E271" s="21">
        <v>36</v>
      </c>
      <c r="F271" s="21">
        <v>34</v>
      </c>
      <c r="G271" s="21">
        <v>38</v>
      </c>
      <c r="H271" s="21">
        <v>36</v>
      </c>
    </row>
    <row r="272" spans="1:8" x14ac:dyDescent="0.35">
      <c r="A272" s="15" t="s">
        <v>21</v>
      </c>
      <c r="B272" s="35" t="s">
        <v>57</v>
      </c>
      <c r="C272" s="44"/>
      <c r="D272" s="5" t="s">
        <v>402</v>
      </c>
      <c r="E272" s="21">
        <v>18</v>
      </c>
      <c r="F272" s="21">
        <v>18</v>
      </c>
      <c r="G272" s="21">
        <v>23</v>
      </c>
      <c r="H272" s="21">
        <v>19</v>
      </c>
    </row>
    <row r="273" spans="1:8" x14ac:dyDescent="0.35">
      <c r="A273" s="15" t="s">
        <v>21</v>
      </c>
      <c r="B273" s="35" t="s">
        <v>57</v>
      </c>
      <c r="C273" s="44"/>
      <c r="D273" s="5" t="s">
        <v>403</v>
      </c>
      <c r="E273" s="21">
        <v>91</v>
      </c>
      <c r="F273" s="21">
        <v>86</v>
      </c>
      <c r="G273" s="21">
        <v>103</v>
      </c>
      <c r="H273" s="21">
        <v>70</v>
      </c>
    </row>
    <row r="274" spans="1:8" x14ac:dyDescent="0.35">
      <c r="A274" s="15" t="s">
        <v>21</v>
      </c>
      <c r="B274" s="35" t="s">
        <v>57</v>
      </c>
      <c r="C274" s="44"/>
      <c r="D274" s="5" t="s">
        <v>144</v>
      </c>
      <c r="E274" s="21">
        <v>54</v>
      </c>
      <c r="F274" s="21">
        <v>52</v>
      </c>
      <c r="G274" s="21">
        <v>60</v>
      </c>
      <c r="H274" s="21">
        <v>51</v>
      </c>
    </row>
    <row r="275" spans="1:8" x14ac:dyDescent="0.35">
      <c r="A275" s="15" t="s">
        <v>21</v>
      </c>
      <c r="B275" s="35" t="s">
        <v>57</v>
      </c>
      <c r="C275" s="44"/>
      <c r="D275" s="5" t="s">
        <v>404</v>
      </c>
      <c r="E275" s="21">
        <v>40</v>
      </c>
      <c r="F275" s="21">
        <v>39</v>
      </c>
      <c r="G275" s="21" t="s">
        <v>63</v>
      </c>
      <c r="H275" s="21" t="s">
        <v>63</v>
      </c>
    </row>
    <row r="276" spans="1:8" x14ac:dyDescent="0.35">
      <c r="A276" s="15" t="s">
        <v>21</v>
      </c>
      <c r="B276" s="35" t="s">
        <v>57</v>
      </c>
      <c r="C276" s="44"/>
      <c r="D276" s="5" t="s">
        <v>405</v>
      </c>
      <c r="E276" s="21">
        <v>61</v>
      </c>
      <c r="F276" s="21">
        <v>61</v>
      </c>
      <c r="G276" s="21">
        <v>59</v>
      </c>
      <c r="H276" s="21">
        <v>43</v>
      </c>
    </row>
    <row r="277" spans="1:8" x14ac:dyDescent="0.35">
      <c r="A277" s="15" t="s">
        <v>21</v>
      </c>
      <c r="B277" s="35" t="s">
        <v>57</v>
      </c>
      <c r="C277" s="44"/>
      <c r="D277" s="6" t="s">
        <v>406</v>
      </c>
      <c r="E277" s="21" t="s">
        <v>63</v>
      </c>
      <c r="F277" s="21" t="s">
        <v>63</v>
      </c>
      <c r="G277" s="21" t="s">
        <v>63</v>
      </c>
      <c r="H277" s="21" t="s">
        <v>63</v>
      </c>
    </row>
    <row r="278" spans="1:8" x14ac:dyDescent="0.35">
      <c r="A278" s="15" t="s">
        <v>21</v>
      </c>
      <c r="B278" s="35" t="s">
        <v>57</v>
      </c>
      <c r="C278" s="44"/>
      <c r="D278" s="6" t="s">
        <v>407</v>
      </c>
      <c r="E278" s="21">
        <v>72</v>
      </c>
      <c r="F278" s="21">
        <v>69</v>
      </c>
      <c r="G278" s="21">
        <v>76</v>
      </c>
      <c r="H278" s="21">
        <v>62</v>
      </c>
    </row>
    <row r="279" spans="1:8" x14ac:dyDescent="0.35">
      <c r="A279" s="15" t="s">
        <v>21</v>
      </c>
      <c r="B279" s="35" t="s">
        <v>57</v>
      </c>
      <c r="C279" s="44"/>
      <c r="D279" s="6" t="s">
        <v>408</v>
      </c>
      <c r="E279" s="21" t="s">
        <v>63</v>
      </c>
      <c r="F279" s="21" t="s">
        <v>63</v>
      </c>
      <c r="G279" s="21">
        <v>45</v>
      </c>
      <c r="H279" s="74">
        <v>36</v>
      </c>
    </row>
    <row r="280" spans="1:8" x14ac:dyDescent="0.35">
      <c r="A280" s="15" t="s">
        <v>21</v>
      </c>
      <c r="B280" s="35" t="s">
        <v>57</v>
      </c>
      <c r="C280" s="44"/>
      <c r="D280" s="6" t="s">
        <v>409</v>
      </c>
      <c r="E280" s="21" t="s">
        <v>63</v>
      </c>
      <c r="F280" s="21" t="s">
        <v>63</v>
      </c>
      <c r="G280" s="21">
        <v>43</v>
      </c>
      <c r="H280" s="74">
        <v>26</v>
      </c>
    </row>
    <row r="281" spans="1:8" x14ac:dyDescent="0.35">
      <c r="A281" s="15" t="s">
        <v>21</v>
      </c>
      <c r="B281" s="35" t="s">
        <v>57</v>
      </c>
      <c r="C281" s="44"/>
      <c r="D281" s="6" t="s">
        <v>410</v>
      </c>
      <c r="E281" s="21">
        <v>45</v>
      </c>
      <c r="F281" s="21">
        <v>45</v>
      </c>
      <c r="G281" s="21">
        <v>61</v>
      </c>
      <c r="H281" s="21">
        <v>45</v>
      </c>
    </row>
    <row r="282" spans="1:8" x14ac:dyDescent="0.35">
      <c r="A282" s="15" t="s">
        <v>21</v>
      </c>
      <c r="B282" s="35" t="s">
        <v>57</v>
      </c>
      <c r="C282" s="44"/>
      <c r="D282" s="6" t="s">
        <v>411</v>
      </c>
      <c r="E282" s="21">
        <v>20</v>
      </c>
      <c r="F282" s="21">
        <v>19</v>
      </c>
      <c r="G282" s="21" t="s">
        <v>63</v>
      </c>
      <c r="H282" s="21" t="s">
        <v>63</v>
      </c>
    </row>
    <row r="283" spans="1:8" x14ac:dyDescent="0.35">
      <c r="A283" s="15" t="s">
        <v>21</v>
      </c>
      <c r="B283" s="35" t="s">
        <v>57</v>
      </c>
      <c r="C283" s="44"/>
      <c r="D283" s="6" t="s">
        <v>412</v>
      </c>
      <c r="E283" s="21">
        <v>57</v>
      </c>
      <c r="F283" s="21">
        <v>55</v>
      </c>
      <c r="G283" s="21">
        <v>62</v>
      </c>
      <c r="H283" s="21">
        <v>38</v>
      </c>
    </row>
    <row r="284" spans="1:8" x14ac:dyDescent="0.35">
      <c r="A284" s="15" t="s">
        <v>21</v>
      </c>
      <c r="B284" s="35" t="s">
        <v>57</v>
      </c>
      <c r="C284" s="44"/>
      <c r="D284" s="6" t="s">
        <v>413</v>
      </c>
      <c r="E284" s="21" t="s">
        <v>63</v>
      </c>
      <c r="F284" s="21" t="s">
        <v>63</v>
      </c>
      <c r="G284" s="21" t="s">
        <v>63</v>
      </c>
      <c r="H284" s="21" t="s">
        <v>63</v>
      </c>
    </row>
    <row r="285" spans="1:8" x14ac:dyDescent="0.35">
      <c r="A285" s="15" t="s">
        <v>21</v>
      </c>
      <c r="B285" s="6" t="s">
        <v>299</v>
      </c>
      <c r="C285" s="44"/>
      <c r="D285" s="6" t="s">
        <v>414</v>
      </c>
      <c r="E285" s="21">
        <v>24</v>
      </c>
      <c r="F285" s="21">
        <v>23</v>
      </c>
      <c r="G285" s="21">
        <v>29</v>
      </c>
      <c r="H285" s="21">
        <v>24</v>
      </c>
    </row>
    <row r="286" spans="1:8" x14ac:dyDescent="0.35">
      <c r="A286" s="15" t="s">
        <v>21</v>
      </c>
      <c r="B286" s="6" t="s">
        <v>299</v>
      </c>
      <c r="C286" s="44"/>
      <c r="D286" s="6" t="s">
        <v>415</v>
      </c>
      <c r="E286" s="21">
        <v>11</v>
      </c>
      <c r="F286" s="21">
        <v>10</v>
      </c>
      <c r="G286" s="21">
        <v>10</v>
      </c>
      <c r="H286" s="21">
        <v>10</v>
      </c>
    </row>
    <row r="287" spans="1:8" x14ac:dyDescent="0.35">
      <c r="A287" s="15" t="s">
        <v>21</v>
      </c>
      <c r="B287" s="6" t="s">
        <v>299</v>
      </c>
      <c r="C287" s="44"/>
      <c r="D287" s="6" t="s">
        <v>416</v>
      </c>
      <c r="E287" s="21" t="s">
        <v>63</v>
      </c>
      <c r="F287" s="21" t="s">
        <v>63</v>
      </c>
      <c r="G287" s="21" t="s">
        <v>63</v>
      </c>
      <c r="H287" s="21" t="s">
        <v>63</v>
      </c>
    </row>
    <row r="288" spans="1:8" x14ac:dyDescent="0.35">
      <c r="A288" s="15" t="s">
        <v>21</v>
      </c>
      <c r="B288" s="6" t="s">
        <v>60</v>
      </c>
      <c r="C288" s="44"/>
      <c r="D288" s="6" t="s">
        <v>417</v>
      </c>
      <c r="E288" s="21">
        <v>4</v>
      </c>
      <c r="F288" s="21">
        <v>4</v>
      </c>
      <c r="G288" s="21">
        <v>6</v>
      </c>
      <c r="H288" s="21">
        <v>6</v>
      </c>
    </row>
    <row r="289" spans="1:8" x14ac:dyDescent="0.35">
      <c r="A289" s="15" t="s">
        <v>21</v>
      </c>
      <c r="B289" s="6" t="s">
        <v>60</v>
      </c>
      <c r="C289" s="44"/>
      <c r="D289" s="6" t="s">
        <v>418</v>
      </c>
      <c r="E289" s="21" t="s">
        <v>63</v>
      </c>
      <c r="F289" s="21" t="s">
        <v>63</v>
      </c>
      <c r="G289" s="21" t="s">
        <v>63</v>
      </c>
      <c r="H289" s="21" t="s">
        <v>63</v>
      </c>
    </row>
    <row r="290" spans="1:8" x14ac:dyDescent="0.35">
      <c r="A290" s="15" t="s">
        <v>21</v>
      </c>
      <c r="B290" s="6" t="s">
        <v>101</v>
      </c>
      <c r="C290" s="44"/>
      <c r="D290" s="6" t="s">
        <v>419</v>
      </c>
      <c r="E290" s="21">
        <v>3</v>
      </c>
      <c r="F290" s="21">
        <v>3</v>
      </c>
      <c r="G290" s="21">
        <v>5</v>
      </c>
      <c r="H290" s="21">
        <v>4</v>
      </c>
    </row>
    <row r="291" spans="1:8" x14ac:dyDescent="0.35">
      <c r="A291" s="15" t="s">
        <v>420</v>
      </c>
      <c r="B291" s="35" t="s">
        <v>57</v>
      </c>
      <c r="C291" s="5" t="s">
        <v>421</v>
      </c>
      <c r="D291" s="38" t="s">
        <v>143</v>
      </c>
      <c r="E291" s="21">
        <v>36</v>
      </c>
      <c r="F291" s="21">
        <v>34</v>
      </c>
      <c r="G291" s="21">
        <v>43</v>
      </c>
      <c r="H291" s="21">
        <v>25</v>
      </c>
    </row>
    <row r="292" spans="1:8" x14ac:dyDescent="0.35">
      <c r="A292" s="15" t="s">
        <v>420</v>
      </c>
      <c r="B292" s="35" t="s">
        <v>57</v>
      </c>
      <c r="C292" s="5" t="s">
        <v>422</v>
      </c>
      <c r="D292" s="38" t="s">
        <v>142</v>
      </c>
      <c r="E292" s="21">
        <v>23</v>
      </c>
      <c r="F292" s="21">
        <v>18</v>
      </c>
      <c r="G292" s="21">
        <v>24</v>
      </c>
      <c r="H292" s="21">
        <v>21</v>
      </c>
    </row>
    <row r="293" spans="1:8" x14ac:dyDescent="0.35">
      <c r="A293" s="15" t="s">
        <v>420</v>
      </c>
      <c r="B293" s="35" t="s">
        <v>57</v>
      </c>
      <c r="C293" s="5" t="s">
        <v>423</v>
      </c>
      <c r="D293" s="38" t="s">
        <v>424</v>
      </c>
      <c r="E293" s="21">
        <v>61</v>
      </c>
      <c r="F293" s="21">
        <v>57</v>
      </c>
      <c r="G293" s="21">
        <v>69</v>
      </c>
      <c r="H293" s="21">
        <v>45</v>
      </c>
    </row>
    <row r="294" spans="1:8" x14ac:dyDescent="0.35">
      <c r="A294" s="15" t="s">
        <v>420</v>
      </c>
      <c r="B294" s="35" t="s">
        <v>57</v>
      </c>
      <c r="C294" s="5" t="s">
        <v>425</v>
      </c>
      <c r="D294" s="38" t="s">
        <v>426</v>
      </c>
      <c r="E294" s="21" t="s">
        <v>63</v>
      </c>
      <c r="F294" s="21" t="s">
        <v>63</v>
      </c>
      <c r="G294" s="21">
        <v>91</v>
      </c>
      <c r="H294" s="74">
        <v>59</v>
      </c>
    </row>
    <row r="295" spans="1:8" x14ac:dyDescent="0.35">
      <c r="A295" s="15" t="s">
        <v>420</v>
      </c>
      <c r="B295" s="35" t="s">
        <v>57</v>
      </c>
      <c r="C295" s="5" t="s">
        <v>427</v>
      </c>
      <c r="D295" s="38" t="s">
        <v>428</v>
      </c>
      <c r="E295" s="21" t="s">
        <v>63</v>
      </c>
      <c r="F295" s="21" t="s">
        <v>63</v>
      </c>
      <c r="G295" s="21">
        <v>42</v>
      </c>
      <c r="H295" s="74">
        <v>32</v>
      </c>
    </row>
    <row r="296" spans="1:8" x14ac:dyDescent="0.35">
      <c r="A296" s="15" t="s">
        <v>420</v>
      </c>
      <c r="B296" s="35" t="s">
        <v>57</v>
      </c>
      <c r="C296" s="5" t="s">
        <v>429</v>
      </c>
      <c r="D296" s="38" t="s">
        <v>139</v>
      </c>
      <c r="E296" s="21">
        <v>83</v>
      </c>
      <c r="F296" s="21">
        <v>81</v>
      </c>
      <c r="G296" s="21" t="s">
        <v>63</v>
      </c>
      <c r="H296" s="21" t="s">
        <v>63</v>
      </c>
    </row>
    <row r="297" spans="1:8" x14ac:dyDescent="0.35">
      <c r="A297" s="15" t="s">
        <v>420</v>
      </c>
      <c r="B297" s="35" t="s">
        <v>57</v>
      </c>
      <c r="C297" s="5" t="s">
        <v>430</v>
      </c>
      <c r="D297" s="38" t="s">
        <v>431</v>
      </c>
      <c r="E297" s="21" t="s">
        <v>63</v>
      </c>
      <c r="F297" s="21" t="s">
        <v>63</v>
      </c>
      <c r="G297" s="21">
        <v>107</v>
      </c>
      <c r="H297" s="21">
        <v>85</v>
      </c>
    </row>
    <row r="298" spans="1:8" x14ac:dyDescent="0.35">
      <c r="A298" s="15" t="s">
        <v>420</v>
      </c>
      <c r="B298" s="35" t="s">
        <v>57</v>
      </c>
      <c r="C298" s="5" t="s">
        <v>432</v>
      </c>
      <c r="D298" s="38" t="s">
        <v>144</v>
      </c>
      <c r="E298" s="21">
        <v>54</v>
      </c>
      <c r="F298" s="21">
        <v>52</v>
      </c>
      <c r="G298" s="21">
        <v>60</v>
      </c>
      <c r="H298" s="21">
        <v>51</v>
      </c>
    </row>
    <row r="299" spans="1:8" x14ac:dyDescent="0.35">
      <c r="A299" s="15" t="s">
        <v>420</v>
      </c>
      <c r="B299" s="35" t="s">
        <v>75</v>
      </c>
      <c r="C299" s="5" t="s">
        <v>433</v>
      </c>
      <c r="D299" s="38" t="s">
        <v>434</v>
      </c>
      <c r="E299" s="21">
        <v>58</v>
      </c>
      <c r="F299" s="21">
        <v>55</v>
      </c>
      <c r="G299" s="21">
        <v>61</v>
      </c>
      <c r="H299" s="21">
        <v>47</v>
      </c>
    </row>
    <row r="300" spans="1:8" x14ac:dyDescent="0.35">
      <c r="A300" s="15" t="s">
        <v>420</v>
      </c>
      <c r="B300" s="35" t="s">
        <v>93</v>
      </c>
      <c r="C300" s="5" t="s">
        <v>435</v>
      </c>
      <c r="D300" s="38" t="s">
        <v>436</v>
      </c>
      <c r="E300" s="21">
        <v>29</v>
      </c>
      <c r="F300" s="21">
        <v>26</v>
      </c>
      <c r="G300" s="21">
        <v>35</v>
      </c>
      <c r="H300" s="21">
        <v>30</v>
      </c>
    </row>
    <row r="301" spans="1:8" x14ac:dyDescent="0.35">
      <c r="A301" s="15" t="s">
        <v>420</v>
      </c>
      <c r="B301" s="35" t="s">
        <v>437</v>
      </c>
      <c r="C301" s="5" t="s">
        <v>438</v>
      </c>
      <c r="D301" s="38" t="s">
        <v>439</v>
      </c>
      <c r="E301" s="21">
        <v>20</v>
      </c>
      <c r="F301" s="21">
        <v>20</v>
      </c>
      <c r="G301" s="21">
        <v>56</v>
      </c>
      <c r="H301" s="21">
        <v>47</v>
      </c>
    </row>
    <row r="302" spans="1:8" x14ac:dyDescent="0.35">
      <c r="A302" s="15" t="s">
        <v>420</v>
      </c>
      <c r="B302" s="35" t="s">
        <v>60</v>
      </c>
      <c r="C302" s="5" t="s">
        <v>440</v>
      </c>
      <c r="D302" s="38" t="s">
        <v>441</v>
      </c>
      <c r="E302" s="21" t="s">
        <v>63</v>
      </c>
      <c r="F302" s="21" t="s">
        <v>63</v>
      </c>
      <c r="G302" s="21" t="s">
        <v>63</v>
      </c>
      <c r="H302" s="21" t="s">
        <v>63</v>
      </c>
    </row>
    <row r="303" spans="1:8" x14ac:dyDescent="0.35">
      <c r="A303" s="15" t="s">
        <v>420</v>
      </c>
      <c r="B303" s="35" t="s">
        <v>60</v>
      </c>
      <c r="C303" s="5" t="s">
        <v>440</v>
      </c>
      <c r="D303" s="38" t="s">
        <v>442</v>
      </c>
      <c r="E303" s="21">
        <v>10</v>
      </c>
      <c r="F303" s="21">
        <v>9</v>
      </c>
      <c r="G303" s="21">
        <v>10</v>
      </c>
      <c r="H303" s="21">
        <v>8</v>
      </c>
    </row>
    <row r="304" spans="1:8" x14ac:dyDescent="0.35">
      <c r="A304" s="15" t="s">
        <v>420</v>
      </c>
      <c r="B304" s="35" t="s">
        <v>60</v>
      </c>
      <c r="C304" s="5" t="s">
        <v>440</v>
      </c>
      <c r="D304" s="38" t="s">
        <v>443</v>
      </c>
      <c r="E304" s="21">
        <v>6</v>
      </c>
      <c r="F304" s="21">
        <v>6</v>
      </c>
      <c r="G304" s="21">
        <v>7</v>
      </c>
      <c r="H304" s="21">
        <v>6</v>
      </c>
    </row>
    <row r="305" spans="1:8" x14ac:dyDescent="0.35">
      <c r="A305" s="15" t="s">
        <v>420</v>
      </c>
      <c r="B305" s="35" t="s">
        <v>444</v>
      </c>
      <c r="C305" s="5" t="s">
        <v>445</v>
      </c>
      <c r="D305" s="38" t="s">
        <v>158</v>
      </c>
      <c r="E305" s="21">
        <v>3</v>
      </c>
      <c r="F305" s="21">
        <v>2</v>
      </c>
      <c r="G305" s="21" t="s">
        <v>63</v>
      </c>
      <c r="H305" s="21" t="s">
        <v>63</v>
      </c>
    </row>
    <row r="306" spans="1:8" x14ac:dyDescent="0.35">
      <c r="A306" s="15" t="s">
        <v>420</v>
      </c>
      <c r="B306" s="35" t="s">
        <v>444</v>
      </c>
      <c r="C306" s="5" t="s">
        <v>445</v>
      </c>
      <c r="D306" s="38" t="s">
        <v>446</v>
      </c>
      <c r="E306" s="21" t="s">
        <v>63</v>
      </c>
      <c r="F306" s="21" t="s">
        <v>63</v>
      </c>
      <c r="G306" s="21" t="s">
        <v>63</v>
      </c>
      <c r="H306" s="21" t="s">
        <v>63</v>
      </c>
    </row>
    <row r="307" spans="1:8" x14ac:dyDescent="0.35">
      <c r="A307" s="15" t="s">
        <v>420</v>
      </c>
      <c r="B307" s="35" t="s">
        <v>259</v>
      </c>
      <c r="C307" s="5" t="s">
        <v>447</v>
      </c>
      <c r="D307" s="38" t="s">
        <v>448</v>
      </c>
      <c r="E307" s="21">
        <v>23</v>
      </c>
      <c r="F307" s="21">
        <v>23</v>
      </c>
      <c r="G307" s="21">
        <v>27</v>
      </c>
      <c r="H307" s="21">
        <v>20</v>
      </c>
    </row>
    <row r="308" spans="1:8" x14ac:dyDescent="0.35">
      <c r="A308" s="15" t="s">
        <v>420</v>
      </c>
      <c r="B308" s="35" t="s">
        <v>259</v>
      </c>
      <c r="C308" s="5" t="s">
        <v>447</v>
      </c>
      <c r="D308" s="38" t="s">
        <v>449</v>
      </c>
      <c r="E308" s="21">
        <v>4</v>
      </c>
      <c r="F308" s="21">
        <v>4</v>
      </c>
      <c r="G308" s="21">
        <v>4</v>
      </c>
      <c r="H308" s="21">
        <v>4</v>
      </c>
    </row>
    <row r="309" spans="1:8" x14ac:dyDescent="0.35">
      <c r="A309" s="15" t="s">
        <v>450</v>
      </c>
      <c r="B309" s="35" t="s">
        <v>57</v>
      </c>
      <c r="C309" s="5" t="s">
        <v>451</v>
      </c>
      <c r="D309" s="38" t="s">
        <v>205</v>
      </c>
      <c r="E309" s="21" t="s">
        <v>63</v>
      </c>
      <c r="F309" s="21" t="s">
        <v>63</v>
      </c>
      <c r="G309" s="21">
        <v>98</v>
      </c>
      <c r="H309" s="74">
        <v>67</v>
      </c>
    </row>
    <row r="310" spans="1:8" x14ac:dyDescent="0.35">
      <c r="A310" s="15" t="s">
        <v>450</v>
      </c>
      <c r="B310" s="6" t="s">
        <v>57</v>
      </c>
      <c r="C310" s="6" t="s">
        <v>452</v>
      </c>
      <c r="D310" s="38" t="s">
        <v>70</v>
      </c>
      <c r="E310" s="21" t="s">
        <v>63</v>
      </c>
      <c r="F310" s="21" t="s">
        <v>63</v>
      </c>
      <c r="G310" s="21">
        <v>57</v>
      </c>
      <c r="H310" s="74">
        <v>36</v>
      </c>
    </row>
    <row r="311" spans="1:8" x14ac:dyDescent="0.35">
      <c r="A311" s="15" t="s">
        <v>450</v>
      </c>
      <c r="B311" s="6" t="s">
        <v>57</v>
      </c>
      <c r="C311" s="6" t="s">
        <v>453</v>
      </c>
      <c r="D311" s="38" t="s">
        <v>454</v>
      </c>
      <c r="E311" s="21">
        <v>28</v>
      </c>
      <c r="F311" s="21">
        <v>26</v>
      </c>
      <c r="G311" s="21">
        <v>36</v>
      </c>
      <c r="H311" s="21">
        <v>24</v>
      </c>
    </row>
    <row r="312" spans="1:8" x14ac:dyDescent="0.35">
      <c r="A312" s="15" t="s">
        <v>455</v>
      </c>
      <c r="B312" s="35" t="s">
        <v>60</v>
      </c>
      <c r="C312" s="5" t="s">
        <v>456</v>
      </c>
      <c r="D312" s="38" t="s">
        <v>457</v>
      </c>
      <c r="E312" s="21" t="s">
        <v>63</v>
      </c>
      <c r="F312" s="21" t="s">
        <v>63</v>
      </c>
      <c r="G312" s="21" t="s">
        <v>63</v>
      </c>
      <c r="H312" s="21" t="s">
        <v>63</v>
      </c>
    </row>
    <row r="313" spans="1:8" x14ac:dyDescent="0.35">
      <c r="A313" s="15" t="s">
        <v>455</v>
      </c>
      <c r="B313" s="6" t="s">
        <v>75</v>
      </c>
      <c r="C313" s="6" t="s">
        <v>458</v>
      </c>
      <c r="D313" s="38" t="s">
        <v>459</v>
      </c>
      <c r="E313" s="21">
        <v>2</v>
      </c>
      <c r="F313" s="21">
        <v>2</v>
      </c>
      <c r="G313" s="21" t="s">
        <v>63</v>
      </c>
      <c r="H313" s="21" t="s">
        <v>63</v>
      </c>
    </row>
    <row r="314" spans="1:8" x14ac:dyDescent="0.35">
      <c r="A314" s="15" t="s">
        <v>455</v>
      </c>
      <c r="B314" s="6" t="s">
        <v>182</v>
      </c>
      <c r="C314" s="6" t="s">
        <v>460</v>
      </c>
      <c r="D314" s="38" t="s">
        <v>461</v>
      </c>
      <c r="E314" s="21">
        <v>18</v>
      </c>
      <c r="F314" s="21">
        <v>17</v>
      </c>
      <c r="G314" s="21">
        <v>19</v>
      </c>
      <c r="H314" s="21">
        <v>15</v>
      </c>
    </row>
    <row r="315" spans="1:8" x14ac:dyDescent="0.35">
      <c r="A315" s="15" t="s">
        <v>455</v>
      </c>
      <c r="B315" s="6" t="s">
        <v>182</v>
      </c>
      <c r="C315" s="6" t="s">
        <v>462</v>
      </c>
      <c r="D315" s="38" t="s">
        <v>463</v>
      </c>
      <c r="E315" s="21" t="s">
        <v>63</v>
      </c>
      <c r="F315" s="21" t="s">
        <v>63</v>
      </c>
      <c r="G315" s="21" t="s">
        <v>63</v>
      </c>
      <c r="H315" s="21" t="s">
        <v>63</v>
      </c>
    </row>
    <row r="316" spans="1:8" x14ac:dyDescent="0.35">
      <c r="A316" s="15" t="s">
        <v>455</v>
      </c>
      <c r="B316" s="6" t="s">
        <v>271</v>
      </c>
      <c r="C316" s="6" t="s">
        <v>464</v>
      </c>
      <c r="D316" s="38" t="s">
        <v>465</v>
      </c>
      <c r="E316" s="21" t="s">
        <v>63</v>
      </c>
      <c r="F316" s="21" t="s">
        <v>63</v>
      </c>
      <c r="G316" s="21" t="s">
        <v>63</v>
      </c>
      <c r="H316" s="21" t="s">
        <v>63</v>
      </c>
    </row>
    <row r="317" spans="1:8" x14ac:dyDescent="0.35">
      <c r="A317" s="15" t="s">
        <v>455</v>
      </c>
      <c r="B317" s="6" t="s">
        <v>271</v>
      </c>
      <c r="C317" s="6" t="s">
        <v>466</v>
      </c>
      <c r="D317" s="38" t="s">
        <v>467</v>
      </c>
      <c r="E317" s="21">
        <v>55</v>
      </c>
      <c r="F317" s="21">
        <v>50</v>
      </c>
      <c r="G317" s="21">
        <v>62</v>
      </c>
      <c r="H317" s="21">
        <v>34</v>
      </c>
    </row>
    <row r="318" spans="1:8" x14ac:dyDescent="0.35">
      <c r="A318" s="15" t="s">
        <v>455</v>
      </c>
      <c r="B318" s="6" t="s">
        <v>57</v>
      </c>
      <c r="C318" s="6" t="s">
        <v>468</v>
      </c>
      <c r="D318" s="38" t="s">
        <v>469</v>
      </c>
      <c r="E318" s="21">
        <v>62</v>
      </c>
      <c r="F318" s="21">
        <v>57</v>
      </c>
      <c r="G318" s="21">
        <v>73</v>
      </c>
      <c r="H318" s="21">
        <v>51</v>
      </c>
    </row>
    <row r="319" spans="1:8" x14ac:dyDescent="0.35">
      <c r="A319" s="16" t="s">
        <v>470</v>
      </c>
      <c r="B319" s="36" t="s">
        <v>128</v>
      </c>
      <c r="C319" s="29"/>
      <c r="D319" s="40" t="s">
        <v>141</v>
      </c>
      <c r="E319" s="28">
        <v>67</v>
      </c>
      <c r="F319" s="28">
        <v>64</v>
      </c>
      <c r="G319" s="28">
        <v>80</v>
      </c>
      <c r="H319" s="28">
        <v>66</v>
      </c>
    </row>
    <row r="320" spans="1:8" x14ac:dyDescent="0.35">
      <c r="A320" s="16" t="s">
        <v>470</v>
      </c>
      <c r="B320" s="36" t="s">
        <v>128</v>
      </c>
      <c r="C320" s="29"/>
      <c r="D320" s="40" t="s">
        <v>471</v>
      </c>
      <c r="E320" s="28">
        <v>61</v>
      </c>
      <c r="F320" s="28">
        <v>57</v>
      </c>
      <c r="G320" s="28">
        <v>69</v>
      </c>
      <c r="H320" s="28">
        <v>45</v>
      </c>
    </row>
    <row r="321" spans="1:9" x14ac:dyDescent="0.35">
      <c r="A321" s="16" t="s">
        <v>470</v>
      </c>
      <c r="B321" s="36" t="s">
        <v>128</v>
      </c>
      <c r="C321" s="29"/>
      <c r="D321" s="40" t="s">
        <v>143</v>
      </c>
      <c r="E321" s="28">
        <v>36</v>
      </c>
      <c r="F321" s="28">
        <v>34</v>
      </c>
      <c r="G321" s="28">
        <v>43</v>
      </c>
      <c r="H321" s="28">
        <v>25</v>
      </c>
    </row>
    <row r="322" spans="1:9" x14ac:dyDescent="0.35">
      <c r="A322" s="16" t="s">
        <v>470</v>
      </c>
      <c r="B322" s="36" t="s">
        <v>259</v>
      </c>
      <c r="C322" s="29"/>
      <c r="D322" s="40" t="s">
        <v>449</v>
      </c>
      <c r="E322" s="28">
        <v>4</v>
      </c>
      <c r="F322" s="28">
        <v>4</v>
      </c>
      <c r="G322" s="28">
        <v>4</v>
      </c>
      <c r="H322" s="28">
        <v>4</v>
      </c>
    </row>
    <row r="323" spans="1:9" x14ac:dyDescent="0.35">
      <c r="A323" s="16" t="s">
        <v>470</v>
      </c>
      <c r="B323" s="36" t="s">
        <v>60</v>
      </c>
      <c r="C323" s="29"/>
      <c r="D323" s="40" t="s">
        <v>443</v>
      </c>
      <c r="E323" s="28">
        <v>6</v>
      </c>
      <c r="F323" s="28">
        <v>6</v>
      </c>
      <c r="G323" s="28">
        <v>7</v>
      </c>
      <c r="H323" s="28">
        <v>6</v>
      </c>
    </row>
    <row r="324" spans="1:9" x14ac:dyDescent="0.35">
      <c r="A324" s="15" t="s">
        <v>472</v>
      </c>
      <c r="B324" s="35" t="s">
        <v>57</v>
      </c>
      <c r="C324" s="5" t="s">
        <v>473</v>
      </c>
      <c r="D324" s="38" t="s">
        <v>83</v>
      </c>
      <c r="E324" s="21">
        <v>31</v>
      </c>
      <c r="F324" s="21">
        <v>30</v>
      </c>
      <c r="G324" s="21" t="s">
        <v>63</v>
      </c>
      <c r="H324" s="21" t="s">
        <v>63</v>
      </c>
      <c r="I324" t="s">
        <v>474</v>
      </c>
    </row>
    <row r="325" spans="1:9" x14ac:dyDescent="0.35">
      <c r="A325" s="15" t="s">
        <v>472</v>
      </c>
      <c r="B325" s="6" t="s">
        <v>57</v>
      </c>
      <c r="C325" s="6" t="s">
        <v>475</v>
      </c>
      <c r="D325" s="42"/>
      <c r="E325" s="23"/>
      <c r="F325" s="23"/>
      <c r="G325" s="23"/>
      <c r="H325" s="23"/>
    </row>
    <row r="326" spans="1:9" x14ac:dyDescent="0.35">
      <c r="A326" s="15" t="s">
        <v>472</v>
      </c>
      <c r="B326" s="6" t="s">
        <v>57</v>
      </c>
      <c r="C326" s="6" t="s">
        <v>476</v>
      </c>
      <c r="D326" s="42"/>
      <c r="E326" s="23"/>
      <c r="F326" s="23"/>
      <c r="G326" s="23"/>
      <c r="H326" s="23"/>
    </row>
    <row r="327" spans="1:9" x14ac:dyDescent="0.35">
      <c r="A327" s="15" t="s">
        <v>472</v>
      </c>
      <c r="B327" s="6" t="s">
        <v>75</v>
      </c>
      <c r="C327" s="6" t="s">
        <v>477</v>
      </c>
      <c r="D327" s="42" t="s">
        <v>478</v>
      </c>
      <c r="E327" s="23" t="s">
        <v>63</v>
      </c>
      <c r="F327" s="23" t="s">
        <v>63</v>
      </c>
      <c r="G327" s="23">
        <v>28</v>
      </c>
      <c r="H327" s="23">
        <v>24</v>
      </c>
    </row>
    <row r="328" spans="1:9" x14ac:dyDescent="0.35">
      <c r="A328" s="15" t="s">
        <v>472</v>
      </c>
      <c r="B328" s="6" t="s">
        <v>75</v>
      </c>
      <c r="C328" s="6" t="s">
        <v>479</v>
      </c>
      <c r="D328" s="42" t="s">
        <v>480</v>
      </c>
      <c r="E328" s="23">
        <v>74</v>
      </c>
      <c r="F328" s="23">
        <v>68</v>
      </c>
      <c r="G328" s="23">
        <v>80</v>
      </c>
      <c r="H328" s="23">
        <v>63</v>
      </c>
    </row>
    <row r="329" spans="1:9" x14ac:dyDescent="0.35">
      <c r="A329" s="15" t="s">
        <v>472</v>
      </c>
      <c r="B329" s="31" t="s">
        <v>182</v>
      </c>
      <c r="C329" s="31" t="s">
        <v>481</v>
      </c>
      <c r="D329" s="42"/>
      <c r="E329" s="23"/>
      <c r="F329" s="23"/>
      <c r="G329" s="23"/>
      <c r="H329" s="23"/>
    </row>
    <row r="330" spans="1:9" x14ac:dyDescent="0.35">
      <c r="A330" s="15" t="s">
        <v>472</v>
      </c>
      <c r="B330" s="6" t="s">
        <v>93</v>
      </c>
      <c r="C330" s="6" t="s">
        <v>482</v>
      </c>
      <c r="D330" s="38" t="s">
        <v>483</v>
      </c>
      <c r="E330" s="21">
        <v>35</v>
      </c>
      <c r="F330" s="21">
        <v>33</v>
      </c>
      <c r="G330" s="21" t="s">
        <v>63</v>
      </c>
      <c r="H330" s="21" t="s">
        <v>63</v>
      </c>
    </row>
    <row r="331" spans="1:9" x14ac:dyDescent="0.35">
      <c r="A331" s="15" t="s">
        <v>472</v>
      </c>
      <c r="B331" s="6" t="s">
        <v>484</v>
      </c>
      <c r="C331" s="6" t="s">
        <v>485</v>
      </c>
      <c r="D331" s="38" t="s">
        <v>486</v>
      </c>
      <c r="E331" s="21">
        <v>24</v>
      </c>
      <c r="F331" s="21">
        <v>23</v>
      </c>
      <c r="G331" s="21" t="s">
        <v>63</v>
      </c>
      <c r="H331" s="21" t="s">
        <v>63</v>
      </c>
      <c r="I331" s="24" t="s">
        <v>487</v>
      </c>
    </row>
    <row r="332" spans="1:9" x14ac:dyDescent="0.35">
      <c r="A332" s="15" t="s">
        <v>472</v>
      </c>
      <c r="B332" s="6" t="s">
        <v>484</v>
      </c>
      <c r="C332" s="6" t="s">
        <v>485</v>
      </c>
      <c r="D332" s="38" t="s">
        <v>488</v>
      </c>
      <c r="E332" s="21">
        <v>1</v>
      </c>
      <c r="F332" s="21">
        <v>1</v>
      </c>
      <c r="G332" s="21" t="s">
        <v>63</v>
      </c>
      <c r="H332" s="21" t="s">
        <v>63</v>
      </c>
      <c r="I332" s="24"/>
    </row>
    <row r="333" spans="1:9" x14ac:dyDescent="0.35">
      <c r="A333" s="15" t="s">
        <v>472</v>
      </c>
      <c r="B333" s="6" t="s">
        <v>484</v>
      </c>
      <c r="C333" s="6" t="s">
        <v>485</v>
      </c>
      <c r="D333" s="38" t="s">
        <v>489</v>
      </c>
      <c r="E333" s="21">
        <v>10</v>
      </c>
      <c r="F333" s="21">
        <v>10</v>
      </c>
      <c r="G333" s="21" t="s">
        <v>63</v>
      </c>
      <c r="H333" s="21" t="s">
        <v>63</v>
      </c>
      <c r="I333" s="24"/>
    </row>
    <row r="334" spans="1:9" x14ac:dyDescent="0.35">
      <c r="A334" s="15" t="s">
        <v>472</v>
      </c>
      <c r="B334" s="6" t="s">
        <v>484</v>
      </c>
      <c r="C334" s="6" t="s">
        <v>485</v>
      </c>
      <c r="D334" s="38" t="s">
        <v>490</v>
      </c>
      <c r="E334" s="21">
        <v>16</v>
      </c>
      <c r="F334" s="21">
        <v>15</v>
      </c>
      <c r="G334" s="21" t="s">
        <v>63</v>
      </c>
      <c r="H334" s="21" t="s">
        <v>63</v>
      </c>
      <c r="I334" s="24"/>
    </row>
    <row r="335" spans="1:9" x14ac:dyDescent="0.35">
      <c r="A335" s="15" t="s">
        <v>472</v>
      </c>
      <c r="B335" s="6" t="s">
        <v>484</v>
      </c>
      <c r="C335" s="6" t="s">
        <v>485</v>
      </c>
      <c r="D335" s="38" t="s">
        <v>491</v>
      </c>
      <c r="E335" s="21">
        <v>17</v>
      </c>
      <c r="F335" s="21">
        <v>14</v>
      </c>
      <c r="G335" s="21" t="s">
        <v>63</v>
      </c>
      <c r="H335" s="21" t="s">
        <v>63</v>
      </c>
      <c r="I335" s="24"/>
    </row>
    <row r="336" spans="1:9" x14ac:dyDescent="0.35">
      <c r="A336" s="15" t="s">
        <v>472</v>
      </c>
      <c r="B336" s="6" t="s">
        <v>484</v>
      </c>
      <c r="C336" s="6" t="s">
        <v>485</v>
      </c>
      <c r="D336" s="38" t="s">
        <v>492</v>
      </c>
      <c r="E336" s="21">
        <v>31</v>
      </c>
      <c r="F336" s="21">
        <v>29</v>
      </c>
      <c r="G336" s="21" t="s">
        <v>63</v>
      </c>
      <c r="H336" s="21" t="s">
        <v>63</v>
      </c>
      <c r="I336" s="24"/>
    </row>
    <row r="337" spans="1:8" x14ac:dyDescent="0.35">
      <c r="A337" s="15" t="s">
        <v>493</v>
      </c>
      <c r="B337" s="35" t="s">
        <v>494</v>
      </c>
      <c r="C337" s="5" t="s">
        <v>495</v>
      </c>
      <c r="D337" s="38" t="s">
        <v>480</v>
      </c>
      <c r="E337" s="21">
        <v>74</v>
      </c>
      <c r="F337" s="21">
        <v>68</v>
      </c>
      <c r="G337" s="21">
        <v>80</v>
      </c>
      <c r="H337" s="21">
        <v>63</v>
      </c>
    </row>
    <row r="338" spans="1:8" x14ac:dyDescent="0.35">
      <c r="A338" s="15" t="s">
        <v>493</v>
      </c>
      <c r="B338" s="35" t="s">
        <v>494</v>
      </c>
      <c r="C338" s="3" t="s">
        <v>496</v>
      </c>
      <c r="D338" s="38" t="s">
        <v>497</v>
      </c>
      <c r="E338" s="21">
        <v>6</v>
      </c>
      <c r="F338" s="21">
        <v>6</v>
      </c>
      <c r="G338" s="21">
        <v>39</v>
      </c>
      <c r="H338" s="21">
        <v>32</v>
      </c>
    </row>
    <row r="339" spans="1:8" x14ac:dyDescent="0.35">
      <c r="A339" s="15" t="s">
        <v>493</v>
      </c>
      <c r="B339" s="35" t="s">
        <v>494</v>
      </c>
      <c r="C339" s="3" t="s">
        <v>498</v>
      </c>
      <c r="D339" s="38" t="s">
        <v>499</v>
      </c>
      <c r="E339" s="21">
        <v>30</v>
      </c>
      <c r="F339" s="21">
        <v>28</v>
      </c>
      <c r="G339" s="21" t="s">
        <v>63</v>
      </c>
      <c r="H339" s="21" t="s">
        <v>63</v>
      </c>
    </row>
    <row r="340" spans="1:8" x14ac:dyDescent="0.35">
      <c r="A340" s="15" t="s">
        <v>493</v>
      </c>
      <c r="B340" s="35" t="s">
        <v>494</v>
      </c>
      <c r="C340" s="45"/>
      <c r="D340" s="38" t="s">
        <v>500</v>
      </c>
      <c r="E340" s="21">
        <v>9</v>
      </c>
      <c r="F340" s="21">
        <v>9</v>
      </c>
      <c r="G340" s="21" t="s">
        <v>63</v>
      </c>
      <c r="H340" s="21" t="s">
        <v>63</v>
      </c>
    </row>
    <row r="341" spans="1:8" x14ac:dyDescent="0.35">
      <c r="A341" s="15" t="s">
        <v>493</v>
      </c>
      <c r="B341" s="35" t="s">
        <v>494</v>
      </c>
      <c r="C341" s="45"/>
      <c r="D341" s="38" t="s">
        <v>501</v>
      </c>
      <c r="E341" s="21">
        <v>11</v>
      </c>
      <c r="F341" s="21">
        <v>10</v>
      </c>
      <c r="G341" s="21" t="s">
        <v>63</v>
      </c>
      <c r="H341" s="21" t="s">
        <v>63</v>
      </c>
    </row>
    <row r="342" spans="1:8" x14ac:dyDescent="0.35">
      <c r="A342" s="15" t="s">
        <v>493</v>
      </c>
      <c r="B342" s="35" t="s">
        <v>494</v>
      </c>
      <c r="C342" s="45"/>
      <c r="D342" s="38" t="s">
        <v>502</v>
      </c>
      <c r="E342" s="21">
        <v>18</v>
      </c>
      <c r="F342" s="21">
        <v>18</v>
      </c>
      <c r="G342" s="21">
        <v>24</v>
      </c>
      <c r="H342" s="21">
        <v>17</v>
      </c>
    </row>
    <row r="343" spans="1:8" x14ac:dyDescent="0.35">
      <c r="A343" s="15" t="s">
        <v>493</v>
      </c>
      <c r="B343" s="6" t="s">
        <v>75</v>
      </c>
      <c r="C343" s="44"/>
      <c r="D343" s="38" t="s">
        <v>503</v>
      </c>
      <c r="E343" s="21">
        <v>74</v>
      </c>
      <c r="F343" s="21">
        <v>68</v>
      </c>
      <c r="G343" s="21">
        <v>80</v>
      </c>
      <c r="H343" s="21">
        <v>63</v>
      </c>
    </row>
    <row r="344" spans="1:8" x14ac:dyDescent="0.35">
      <c r="A344" s="15" t="s">
        <v>493</v>
      </c>
      <c r="B344" s="6" t="s">
        <v>75</v>
      </c>
      <c r="C344" s="45"/>
      <c r="D344" s="38" t="s">
        <v>504</v>
      </c>
      <c r="E344" s="21">
        <v>25</v>
      </c>
      <c r="F344" s="21">
        <v>24</v>
      </c>
      <c r="G344" s="21">
        <v>29</v>
      </c>
      <c r="H344" s="21">
        <v>17</v>
      </c>
    </row>
    <row r="345" spans="1:8" x14ac:dyDescent="0.35">
      <c r="A345" s="15" t="s">
        <v>493</v>
      </c>
      <c r="B345" s="6" t="s">
        <v>75</v>
      </c>
      <c r="C345" s="44"/>
      <c r="D345" s="38" t="s">
        <v>505</v>
      </c>
      <c r="E345" s="21">
        <v>123</v>
      </c>
      <c r="F345" s="21">
        <v>120</v>
      </c>
      <c r="G345" s="21">
        <v>138</v>
      </c>
      <c r="H345" s="21">
        <v>102</v>
      </c>
    </row>
    <row r="346" spans="1:8" x14ac:dyDescent="0.35">
      <c r="A346" s="15" t="s">
        <v>493</v>
      </c>
      <c r="B346" s="6" t="s">
        <v>75</v>
      </c>
      <c r="C346" s="45"/>
      <c r="D346" s="38" t="s">
        <v>506</v>
      </c>
      <c r="E346" s="21">
        <v>189</v>
      </c>
      <c r="F346" s="21">
        <v>188</v>
      </c>
      <c r="G346" s="21">
        <v>266</v>
      </c>
      <c r="H346" s="21">
        <v>176</v>
      </c>
    </row>
    <row r="347" spans="1:8" x14ac:dyDescent="0.35">
      <c r="A347" s="15" t="s">
        <v>493</v>
      </c>
      <c r="B347" s="6" t="s">
        <v>75</v>
      </c>
      <c r="C347" s="45"/>
      <c r="D347" s="38" t="s">
        <v>507</v>
      </c>
      <c r="E347" s="21" t="s">
        <v>63</v>
      </c>
      <c r="F347" s="21" t="s">
        <v>63</v>
      </c>
      <c r="G347" s="21">
        <v>53</v>
      </c>
      <c r="H347" s="74">
        <v>47</v>
      </c>
    </row>
    <row r="348" spans="1:8" x14ac:dyDescent="0.35">
      <c r="A348" s="15" t="s">
        <v>493</v>
      </c>
      <c r="B348" s="6" t="s">
        <v>75</v>
      </c>
      <c r="C348" s="45"/>
      <c r="D348" s="38" t="s">
        <v>508</v>
      </c>
      <c r="E348" s="21">
        <v>49</v>
      </c>
      <c r="F348" s="21">
        <v>45</v>
      </c>
      <c r="G348" s="21">
        <v>60</v>
      </c>
      <c r="H348" s="21">
        <v>46</v>
      </c>
    </row>
    <row r="349" spans="1:8" x14ac:dyDescent="0.35">
      <c r="A349" s="15" t="s">
        <v>493</v>
      </c>
      <c r="B349" s="6" t="s">
        <v>75</v>
      </c>
      <c r="C349" s="44"/>
      <c r="D349" s="38" t="s">
        <v>509</v>
      </c>
      <c r="E349" s="21">
        <v>29</v>
      </c>
      <c r="F349" s="21">
        <v>27</v>
      </c>
      <c r="G349" s="21">
        <v>39</v>
      </c>
      <c r="H349" s="21">
        <v>30</v>
      </c>
    </row>
    <row r="350" spans="1:8" x14ac:dyDescent="0.35">
      <c r="A350" s="15" t="s">
        <v>493</v>
      </c>
      <c r="B350" s="6" t="s">
        <v>75</v>
      </c>
      <c r="C350" s="44"/>
      <c r="D350" s="38" t="s">
        <v>510</v>
      </c>
      <c r="E350" s="21">
        <v>142</v>
      </c>
      <c r="F350" s="21">
        <v>139</v>
      </c>
      <c r="G350" s="21">
        <v>159</v>
      </c>
      <c r="H350" s="21">
        <v>117</v>
      </c>
    </row>
    <row r="351" spans="1:8" x14ac:dyDescent="0.35">
      <c r="A351" s="15" t="s">
        <v>493</v>
      </c>
      <c r="B351" s="6" t="s">
        <v>93</v>
      </c>
      <c r="C351" s="44"/>
      <c r="D351" s="38" t="s">
        <v>511</v>
      </c>
      <c r="E351" s="21" t="s">
        <v>63</v>
      </c>
      <c r="F351" s="21" t="s">
        <v>63</v>
      </c>
      <c r="G351" s="21" t="s">
        <v>63</v>
      </c>
      <c r="H351" s="21" t="s">
        <v>63</v>
      </c>
    </row>
    <row r="352" spans="1:8" x14ac:dyDescent="0.35">
      <c r="A352" s="15" t="s">
        <v>493</v>
      </c>
      <c r="B352" s="6" t="s">
        <v>93</v>
      </c>
      <c r="C352" s="44"/>
      <c r="D352" s="38" t="s">
        <v>512</v>
      </c>
      <c r="E352" s="21">
        <v>46</v>
      </c>
      <c r="F352" s="21">
        <v>44</v>
      </c>
      <c r="G352" s="21">
        <v>53</v>
      </c>
      <c r="H352" s="21">
        <v>32</v>
      </c>
    </row>
    <row r="353" spans="1:8" x14ac:dyDescent="0.35">
      <c r="A353" s="15" t="s">
        <v>493</v>
      </c>
      <c r="B353" s="6" t="s">
        <v>60</v>
      </c>
      <c r="C353" s="44"/>
      <c r="D353" s="38" t="s">
        <v>513</v>
      </c>
      <c r="E353" s="21">
        <v>19</v>
      </c>
      <c r="F353" s="21">
        <v>18</v>
      </c>
      <c r="G353" s="21">
        <v>25</v>
      </c>
      <c r="H353" s="21">
        <v>21</v>
      </c>
    </row>
    <row r="354" spans="1:8" x14ac:dyDescent="0.35">
      <c r="A354" s="15" t="s">
        <v>493</v>
      </c>
      <c r="B354" s="6" t="s">
        <v>60</v>
      </c>
      <c r="C354" s="44"/>
      <c r="D354" s="38" t="s">
        <v>514</v>
      </c>
      <c r="E354" s="21">
        <v>10</v>
      </c>
      <c r="F354" s="21">
        <v>10</v>
      </c>
      <c r="G354" s="21" t="s">
        <v>63</v>
      </c>
      <c r="H354" s="21" t="s">
        <v>63</v>
      </c>
    </row>
    <row r="355" spans="1:8" x14ac:dyDescent="0.35">
      <c r="A355" s="15" t="s">
        <v>493</v>
      </c>
      <c r="B355" s="6" t="s">
        <v>60</v>
      </c>
      <c r="C355" s="44"/>
      <c r="D355" s="38" t="s">
        <v>515</v>
      </c>
      <c r="E355" s="21" t="s">
        <v>63</v>
      </c>
      <c r="F355" s="21" t="s">
        <v>63</v>
      </c>
      <c r="G355" s="21" t="s">
        <v>63</v>
      </c>
      <c r="H355" s="21" t="s">
        <v>63</v>
      </c>
    </row>
    <row r="356" spans="1:8" x14ac:dyDescent="0.35">
      <c r="A356" s="15" t="s">
        <v>493</v>
      </c>
      <c r="B356" s="6" t="s">
        <v>101</v>
      </c>
      <c r="C356" s="44"/>
      <c r="D356" s="38" t="s">
        <v>516</v>
      </c>
      <c r="E356" s="21">
        <v>13</v>
      </c>
      <c r="F356" s="21">
        <v>12</v>
      </c>
      <c r="G356" s="21">
        <v>15</v>
      </c>
      <c r="H356" s="21">
        <v>13</v>
      </c>
    </row>
    <row r="357" spans="1:8" x14ac:dyDescent="0.35">
      <c r="A357" s="15" t="s">
        <v>493</v>
      </c>
      <c r="B357" s="6" t="s">
        <v>100</v>
      </c>
      <c r="C357" s="44"/>
      <c r="D357" s="38" t="s">
        <v>517</v>
      </c>
      <c r="E357" s="21" t="s">
        <v>63</v>
      </c>
      <c r="F357" s="21" t="s">
        <v>63</v>
      </c>
      <c r="G357" s="21" t="s">
        <v>63</v>
      </c>
      <c r="H357" s="21" t="s">
        <v>63</v>
      </c>
    </row>
    <row r="358" spans="1:8" x14ac:dyDescent="0.35">
      <c r="A358" s="15" t="s">
        <v>493</v>
      </c>
      <c r="B358" s="6" t="s">
        <v>102</v>
      </c>
      <c r="C358" s="44"/>
      <c r="D358" s="38" t="s">
        <v>518</v>
      </c>
      <c r="E358" s="21">
        <v>3</v>
      </c>
      <c r="F358" s="21">
        <v>3</v>
      </c>
      <c r="G358" s="21" t="s">
        <v>63</v>
      </c>
      <c r="H358" s="21" t="s">
        <v>63</v>
      </c>
    </row>
    <row r="359" spans="1:8" x14ac:dyDescent="0.35">
      <c r="A359" s="15" t="s">
        <v>493</v>
      </c>
      <c r="B359" s="6" t="s">
        <v>91</v>
      </c>
      <c r="C359" s="44"/>
      <c r="D359" s="38" t="s">
        <v>519</v>
      </c>
      <c r="E359" s="21" t="s">
        <v>63</v>
      </c>
      <c r="F359" s="21" t="s">
        <v>63</v>
      </c>
      <c r="G359" s="21" t="s">
        <v>63</v>
      </c>
      <c r="H359" s="21" t="s">
        <v>63</v>
      </c>
    </row>
    <row r="360" spans="1:8" x14ac:dyDescent="0.35">
      <c r="A360" s="15" t="s">
        <v>493</v>
      </c>
      <c r="B360" s="6" t="s">
        <v>91</v>
      </c>
      <c r="C360" s="44"/>
      <c r="D360" s="38" t="s">
        <v>520</v>
      </c>
      <c r="E360" s="21">
        <v>2</v>
      </c>
      <c r="F360" s="21">
        <v>2</v>
      </c>
      <c r="G360" s="21" t="s">
        <v>63</v>
      </c>
      <c r="H360" s="21" t="s">
        <v>63</v>
      </c>
    </row>
    <row r="361" spans="1:8" x14ac:dyDescent="0.35">
      <c r="A361" s="15" t="s">
        <v>493</v>
      </c>
      <c r="B361" s="6" t="s">
        <v>259</v>
      </c>
      <c r="C361" s="44"/>
      <c r="D361" s="38" t="s">
        <v>521</v>
      </c>
      <c r="E361" s="21">
        <v>16</v>
      </c>
      <c r="F361" s="21">
        <v>16</v>
      </c>
      <c r="G361" s="21" t="s">
        <v>63</v>
      </c>
      <c r="H361" s="21" t="s">
        <v>63</v>
      </c>
    </row>
    <row r="362" spans="1:8" x14ac:dyDescent="0.35">
      <c r="A362" s="15" t="s">
        <v>493</v>
      </c>
      <c r="B362" s="6" t="s">
        <v>271</v>
      </c>
      <c r="C362" s="44"/>
      <c r="D362" s="38" t="s">
        <v>522</v>
      </c>
      <c r="E362" s="21">
        <v>19</v>
      </c>
      <c r="F362" s="21">
        <v>17</v>
      </c>
      <c r="G362" s="21">
        <v>21</v>
      </c>
      <c r="H362" s="21">
        <v>21</v>
      </c>
    </row>
    <row r="363" spans="1:8" x14ac:dyDescent="0.35">
      <c r="A363" s="15" t="s">
        <v>523</v>
      </c>
      <c r="B363" s="35" t="s">
        <v>224</v>
      </c>
      <c r="C363" s="47"/>
      <c r="D363" s="38" t="s">
        <v>524</v>
      </c>
      <c r="E363" s="21">
        <v>57</v>
      </c>
      <c r="F363" s="21">
        <v>56</v>
      </c>
      <c r="G363" s="21">
        <v>59</v>
      </c>
      <c r="H363" s="21">
        <v>31</v>
      </c>
    </row>
    <row r="364" spans="1:8" x14ac:dyDescent="0.35">
      <c r="A364" s="15" t="s">
        <v>523</v>
      </c>
      <c r="B364" s="6" t="s">
        <v>525</v>
      </c>
      <c r="C364" s="45"/>
      <c r="D364" s="38" t="s">
        <v>474</v>
      </c>
      <c r="E364" s="21" t="s">
        <v>63</v>
      </c>
      <c r="F364" s="21" t="s">
        <v>63</v>
      </c>
      <c r="G364" s="21" t="s">
        <v>63</v>
      </c>
      <c r="H364" s="21" t="s">
        <v>63</v>
      </c>
    </row>
    <row r="365" spans="1:8" x14ac:dyDescent="0.35">
      <c r="A365" s="15" t="s">
        <v>523</v>
      </c>
      <c r="B365" s="6" t="s">
        <v>526</v>
      </c>
      <c r="C365" s="45"/>
      <c r="D365" s="38" t="s">
        <v>527</v>
      </c>
      <c r="E365" s="21" t="s">
        <v>63</v>
      </c>
      <c r="F365" s="21" t="s">
        <v>63</v>
      </c>
      <c r="G365" s="21" t="s">
        <v>63</v>
      </c>
      <c r="H365" s="21" t="s">
        <v>63</v>
      </c>
    </row>
    <row r="366" spans="1:8" x14ac:dyDescent="0.35">
      <c r="A366" s="15" t="s">
        <v>523</v>
      </c>
      <c r="B366" s="6" t="s">
        <v>528</v>
      </c>
      <c r="C366" s="45"/>
      <c r="D366" s="38" t="s">
        <v>529</v>
      </c>
      <c r="E366" s="21">
        <v>59</v>
      </c>
      <c r="F366" s="21">
        <v>57</v>
      </c>
      <c r="G366" s="21">
        <v>64</v>
      </c>
      <c r="H366" s="21">
        <v>34</v>
      </c>
    </row>
    <row r="367" spans="1:8" x14ac:dyDescent="0.35">
      <c r="A367" s="15" t="s">
        <v>523</v>
      </c>
      <c r="B367" s="6" t="s">
        <v>57</v>
      </c>
      <c r="C367" s="45"/>
      <c r="D367" s="38" t="s">
        <v>530</v>
      </c>
      <c r="E367" s="21">
        <v>18</v>
      </c>
      <c r="F367" s="21">
        <v>16</v>
      </c>
      <c r="G367" s="21">
        <v>22</v>
      </c>
      <c r="H367" s="21">
        <v>19</v>
      </c>
    </row>
    <row r="368" spans="1:8" x14ac:dyDescent="0.35">
      <c r="A368" s="15" t="s">
        <v>523</v>
      </c>
      <c r="B368" s="6"/>
      <c r="C368" s="3" t="s">
        <v>531</v>
      </c>
      <c r="D368" s="38" t="s">
        <v>532</v>
      </c>
      <c r="E368" s="21">
        <v>21</v>
      </c>
      <c r="F368" s="21">
        <v>21</v>
      </c>
      <c r="G368" s="21" t="s">
        <v>63</v>
      </c>
      <c r="H368" s="21" t="s">
        <v>63</v>
      </c>
    </row>
    <row r="369" spans="1:9" x14ac:dyDescent="0.35">
      <c r="A369" s="15" t="s">
        <v>523</v>
      </c>
      <c r="B369" s="6" t="s">
        <v>533</v>
      </c>
      <c r="C369" s="45"/>
      <c r="D369" s="38" t="s">
        <v>534</v>
      </c>
      <c r="E369" s="21" t="s">
        <v>63</v>
      </c>
      <c r="F369" s="21" t="s">
        <v>63</v>
      </c>
      <c r="G369" s="21" t="s">
        <v>63</v>
      </c>
      <c r="H369" s="21" t="s">
        <v>63</v>
      </c>
    </row>
    <row r="370" spans="1:9" x14ac:dyDescent="0.35">
      <c r="A370" s="15" t="s">
        <v>523</v>
      </c>
      <c r="B370" s="6" t="s">
        <v>88</v>
      </c>
      <c r="C370" s="45"/>
      <c r="D370" s="38" t="s">
        <v>535</v>
      </c>
      <c r="E370" s="21">
        <v>6</v>
      </c>
      <c r="F370" s="21">
        <v>6</v>
      </c>
      <c r="G370" s="21" t="s">
        <v>63</v>
      </c>
      <c r="H370" s="21" t="s">
        <v>63</v>
      </c>
    </row>
    <row r="371" spans="1:9" x14ac:dyDescent="0.35">
      <c r="A371" s="15" t="s">
        <v>523</v>
      </c>
      <c r="B371" s="6" t="s">
        <v>88</v>
      </c>
      <c r="C371" s="45"/>
      <c r="D371" s="38" t="s">
        <v>536</v>
      </c>
      <c r="E371" s="21" t="s">
        <v>63</v>
      </c>
      <c r="F371" s="21" t="s">
        <v>63</v>
      </c>
      <c r="G371" s="21" t="s">
        <v>63</v>
      </c>
      <c r="H371" s="21" t="s">
        <v>63</v>
      </c>
    </row>
    <row r="372" spans="1:9" x14ac:dyDescent="0.35">
      <c r="A372" s="15" t="s">
        <v>523</v>
      </c>
      <c r="B372" s="6" t="s">
        <v>88</v>
      </c>
      <c r="C372" s="44"/>
      <c r="D372" s="38" t="s">
        <v>537</v>
      </c>
      <c r="E372" s="21">
        <v>17</v>
      </c>
      <c r="F372" s="21">
        <v>17</v>
      </c>
      <c r="G372" s="21" t="s">
        <v>63</v>
      </c>
      <c r="H372" s="21" t="s">
        <v>63</v>
      </c>
    </row>
    <row r="373" spans="1:9" x14ac:dyDescent="0.35">
      <c r="A373" s="15" t="s">
        <v>17</v>
      </c>
      <c r="B373" s="6" t="s">
        <v>178</v>
      </c>
      <c r="C373" s="48"/>
      <c r="D373" s="38" t="s">
        <v>538</v>
      </c>
      <c r="E373" s="21">
        <v>87</v>
      </c>
      <c r="F373" s="21">
        <v>82</v>
      </c>
      <c r="G373" s="21">
        <v>97</v>
      </c>
      <c r="H373" s="21">
        <v>57</v>
      </c>
    </row>
    <row r="374" spans="1:9" x14ac:dyDescent="0.35">
      <c r="A374" s="15" t="s">
        <v>17</v>
      </c>
      <c r="B374" s="6" t="s">
        <v>178</v>
      </c>
      <c r="C374" s="48"/>
      <c r="D374" s="38" t="s">
        <v>539</v>
      </c>
      <c r="E374" s="21" t="s">
        <v>63</v>
      </c>
      <c r="F374" s="21" t="s">
        <v>63</v>
      </c>
      <c r="G374" s="21">
        <v>21</v>
      </c>
      <c r="H374" s="21">
        <v>18</v>
      </c>
    </row>
    <row r="375" spans="1:9" x14ac:dyDescent="0.35">
      <c r="A375" s="15" t="s">
        <v>17</v>
      </c>
      <c r="B375" s="6" t="s">
        <v>178</v>
      </c>
      <c r="C375" s="48"/>
      <c r="D375" s="38" t="s">
        <v>540</v>
      </c>
      <c r="E375" s="21">
        <v>49</v>
      </c>
      <c r="F375" s="21">
        <v>46</v>
      </c>
      <c r="G375" s="21" t="s">
        <v>63</v>
      </c>
      <c r="H375" s="21" t="s">
        <v>63</v>
      </c>
    </row>
    <row r="376" spans="1:9" x14ac:dyDescent="0.35">
      <c r="A376" s="15" t="s">
        <v>17</v>
      </c>
      <c r="B376" s="6" t="s">
        <v>178</v>
      </c>
      <c r="C376" s="48"/>
      <c r="D376" s="38" t="s">
        <v>541</v>
      </c>
      <c r="E376" s="21">
        <v>23</v>
      </c>
      <c r="F376" s="21">
        <v>21</v>
      </c>
      <c r="G376" s="21" t="s">
        <v>63</v>
      </c>
      <c r="H376" s="21" t="s">
        <v>63</v>
      </c>
    </row>
    <row r="377" spans="1:9" x14ac:dyDescent="0.35">
      <c r="A377" s="15" t="s">
        <v>17</v>
      </c>
      <c r="B377" s="6" t="s">
        <v>178</v>
      </c>
      <c r="C377" s="48"/>
      <c r="D377" s="38" t="s">
        <v>542</v>
      </c>
      <c r="E377" s="21">
        <v>37</v>
      </c>
      <c r="F377" s="21">
        <v>31</v>
      </c>
      <c r="G377" s="21">
        <v>38</v>
      </c>
      <c r="H377" s="21">
        <v>35</v>
      </c>
    </row>
    <row r="378" spans="1:9" x14ac:dyDescent="0.35">
      <c r="A378" s="15" t="s">
        <v>17</v>
      </c>
      <c r="B378" s="6" t="s">
        <v>178</v>
      </c>
      <c r="C378" s="48"/>
      <c r="D378" s="38" t="s">
        <v>543</v>
      </c>
      <c r="E378" s="21" t="s">
        <v>63</v>
      </c>
      <c r="F378" s="21" t="s">
        <v>63</v>
      </c>
      <c r="G378" s="21" t="s">
        <v>63</v>
      </c>
      <c r="H378" s="21" t="s">
        <v>63</v>
      </c>
    </row>
    <row r="379" spans="1:9" x14ac:dyDescent="0.35">
      <c r="A379" s="15" t="s">
        <v>17</v>
      </c>
      <c r="B379" s="6" t="s">
        <v>57</v>
      </c>
      <c r="C379" s="48"/>
      <c r="D379" s="38" t="s">
        <v>544</v>
      </c>
      <c r="E379" s="21">
        <v>55</v>
      </c>
      <c r="F379" s="21">
        <v>54</v>
      </c>
      <c r="G379" s="21">
        <v>63</v>
      </c>
      <c r="H379" s="21">
        <v>52</v>
      </c>
    </row>
    <row r="380" spans="1:9" x14ac:dyDescent="0.35">
      <c r="A380" s="15" t="s">
        <v>17</v>
      </c>
      <c r="B380" s="6" t="s">
        <v>57</v>
      </c>
      <c r="C380" s="44"/>
      <c r="D380" s="38" t="s">
        <v>545</v>
      </c>
      <c r="E380" s="21">
        <v>26</v>
      </c>
      <c r="F380" s="21">
        <v>24</v>
      </c>
      <c r="G380" s="21">
        <v>28</v>
      </c>
      <c r="H380" s="21">
        <v>24</v>
      </c>
    </row>
    <row r="381" spans="1:9" x14ac:dyDescent="0.35">
      <c r="A381" s="15" t="s">
        <v>17</v>
      </c>
      <c r="B381" s="6" t="s">
        <v>57</v>
      </c>
      <c r="C381" s="44"/>
      <c r="D381" s="38" t="s">
        <v>546</v>
      </c>
      <c r="E381" s="21" t="s">
        <v>63</v>
      </c>
      <c r="F381" s="21" t="s">
        <v>63</v>
      </c>
      <c r="G381" s="21">
        <v>65</v>
      </c>
      <c r="H381" s="21">
        <v>48</v>
      </c>
    </row>
    <row r="382" spans="1:9" x14ac:dyDescent="0.35">
      <c r="A382" s="15" t="s">
        <v>17</v>
      </c>
      <c r="B382" s="6" t="s">
        <v>57</v>
      </c>
      <c r="C382" s="44"/>
      <c r="D382" s="38" t="s">
        <v>547</v>
      </c>
      <c r="E382" s="21">
        <v>62</v>
      </c>
      <c r="F382" s="21">
        <v>59</v>
      </c>
      <c r="G382" s="21">
        <v>73</v>
      </c>
      <c r="H382" s="21">
        <v>45</v>
      </c>
    </row>
    <row r="383" spans="1:9" x14ac:dyDescent="0.35">
      <c r="A383" s="15" t="s">
        <v>17</v>
      </c>
      <c r="B383" s="6" t="s">
        <v>57</v>
      </c>
      <c r="C383" s="44"/>
      <c r="D383" s="38" t="s">
        <v>548</v>
      </c>
      <c r="E383" s="21" t="s">
        <v>63</v>
      </c>
      <c r="F383" s="21" t="s">
        <v>63</v>
      </c>
      <c r="G383" s="21">
        <v>59</v>
      </c>
      <c r="H383" s="21">
        <v>49</v>
      </c>
    </row>
    <row r="384" spans="1:9" x14ac:dyDescent="0.35">
      <c r="A384" s="15" t="s">
        <v>17</v>
      </c>
      <c r="B384" s="6" t="s">
        <v>57</v>
      </c>
      <c r="C384" s="44"/>
      <c r="D384" s="38" t="s">
        <v>549</v>
      </c>
      <c r="E384" s="21">
        <v>9</v>
      </c>
      <c r="F384" s="21">
        <v>9</v>
      </c>
      <c r="G384" s="21">
        <v>18</v>
      </c>
      <c r="H384" s="21">
        <v>18</v>
      </c>
      <c r="I384" t="s">
        <v>550</v>
      </c>
    </row>
    <row r="385" spans="1:8" x14ac:dyDescent="0.35">
      <c r="A385" s="15" t="s">
        <v>17</v>
      </c>
      <c r="B385" s="6" t="s">
        <v>75</v>
      </c>
      <c r="C385" s="48"/>
      <c r="D385" s="38" t="s">
        <v>551</v>
      </c>
      <c r="E385" s="21">
        <v>71</v>
      </c>
      <c r="F385" s="21">
        <v>68</v>
      </c>
      <c r="G385" s="21">
        <v>79</v>
      </c>
      <c r="H385" s="21">
        <v>69</v>
      </c>
    </row>
    <row r="386" spans="1:8" x14ac:dyDescent="0.35">
      <c r="A386" s="15" t="s">
        <v>17</v>
      </c>
      <c r="B386" s="6" t="s">
        <v>75</v>
      </c>
      <c r="C386" s="48"/>
      <c r="D386" s="38" t="s">
        <v>552</v>
      </c>
      <c r="E386" s="21">
        <v>19</v>
      </c>
      <c r="F386" s="21">
        <v>19</v>
      </c>
      <c r="G386" s="21" t="s">
        <v>63</v>
      </c>
      <c r="H386" s="21" t="s">
        <v>63</v>
      </c>
    </row>
    <row r="387" spans="1:8" x14ac:dyDescent="0.35">
      <c r="A387" s="15" t="s">
        <v>17</v>
      </c>
      <c r="B387" s="6" t="s">
        <v>271</v>
      </c>
      <c r="C387" s="48"/>
      <c r="D387" s="38" t="s">
        <v>553</v>
      </c>
      <c r="E387" s="21" t="s">
        <v>63</v>
      </c>
      <c r="F387" s="21" t="s">
        <v>63</v>
      </c>
      <c r="G387" s="21">
        <v>56</v>
      </c>
      <c r="H387" s="21">
        <v>46</v>
      </c>
    </row>
    <row r="388" spans="1:8" x14ac:dyDescent="0.35">
      <c r="A388" s="15" t="s">
        <v>17</v>
      </c>
      <c r="B388" s="6" t="s">
        <v>271</v>
      </c>
      <c r="C388" s="48"/>
      <c r="D388" s="38" t="s">
        <v>554</v>
      </c>
      <c r="E388" s="21">
        <v>67</v>
      </c>
      <c r="F388" s="21">
        <v>65</v>
      </c>
      <c r="G388" s="21">
        <v>78</v>
      </c>
      <c r="H388" s="21">
        <v>50</v>
      </c>
    </row>
    <row r="389" spans="1:8" x14ac:dyDescent="0.35">
      <c r="A389" s="15" t="s">
        <v>17</v>
      </c>
      <c r="B389" s="6" t="s">
        <v>271</v>
      </c>
      <c r="C389" s="48"/>
      <c r="D389" s="38" t="s">
        <v>555</v>
      </c>
      <c r="E389" s="21">
        <v>36</v>
      </c>
      <c r="F389" s="21">
        <v>33</v>
      </c>
      <c r="G389" s="21">
        <v>41</v>
      </c>
      <c r="H389" s="21">
        <v>29</v>
      </c>
    </row>
    <row r="390" spans="1:8" x14ac:dyDescent="0.35">
      <c r="A390" s="15" t="s">
        <v>17</v>
      </c>
      <c r="B390" s="6" t="s">
        <v>556</v>
      </c>
      <c r="C390" s="43" t="s">
        <v>557</v>
      </c>
      <c r="E390" s="23"/>
      <c r="F390" s="23"/>
      <c r="G390" s="23"/>
      <c r="H390" s="23"/>
    </row>
    <row r="391" spans="1:8" x14ac:dyDescent="0.35">
      <c r="A391" s="15" t="s">
        <v>17</v>
      </c>
      <c r="B391" s="6" t="s">
        <v>558</v>
      </c>
      <c r="C391" s="43" t="s">
        <v>559</v>
      </c>
      <c r="D391" s="38" t="s">
        <v>560</v>
      </c>
      <c r="E391" s="23" t="s">
        <v>63</v>
      </c>
      <c r="F391" s="23" t="s">
        <v>63</v>
      </c>
      <c r="G391" s="23">
        <v>44</v>
      </c>
      <c r="H391" s="23">
        <v>20</v>
      </c>
    </row>
    <row r="392" spans="1:8" x14ac:dyDescent="0.35">
      <c r="A392" s="15" t="s">
        <v>17</v>
      </c>
      <c r="B392" s="6" t="s">
        <v>556</v>
      </c>
      <c r="C392" s="43" t="s">
        <v>561</v>
      </c>
      <c r="D392" s="38" t="s">
        <v>562</v>
      </c>
      <c r="E392" s="23">
        <v>6</v>
      </c>
      <c r="F392" s="23">
        <v>5</v>
      </c>
      <c r="G392" s="23">
        <v>100</v>
      </c>
      <c r="H392" s="23">
        <v>53</v>
      </c>
    </row>
    <row r="393" spans="1:8" x14ac:dyDescent="0.35">
      <c r="A393" s="15" t="s">
        <v>17</v>
      </c>
      <c r="B393" s="6" t="s">
        <v>556</v>
      </c>
      <c r="C393" s="43" t="s">
        <v>563</v>
      </c>
      <c r="D393" s="38" t="s">
        <v>508</v>
      </c>
      <c r="E393" s="23">
        <v>50</v>
      </c>
      <c r="F393" s="23">
        <v>45</v>
      </c>
      <c r="G393" s="23">
        <v>61</v>
      </c>
      <c r="H393" s="23">
        <v>47</v>
      </c>
    </row>
    <row r="394" spans="1:8" x14ac:dyDescent="0.35">
      <c r="A394" s="15" t="s">
        <v>17</v>
      </c>
      <c r="B394" s="6" t="s">
        <v>556</v>
      </c>
      <c r="C394" s="43" t="s">
        <v>564</v>
      </c>
      <c r="D394" s="38" t="s">
        <v>565</v>
      </c>
      <c r="E394" s="23">
        <v>28</v>
      </c>
      <c r="F394" s="23">
        <v>28</v>
      </c>
      <c r="G394" s="23">
        <v>31</v>
      </c>
      <c r="H394" s="23">
        <v>21</v>
      </c>
    </row>
    <row r="395" spans="1:8" x14ac:dyDescent="0.35">
      <c r="A395" s="15" t="s">
        <v>17</v>
      </c>
      <c r="B395" s="6" t="s">
        <v>556</v>
      </c>
      <c r="C395" s="43"/>
      <c r="D395" s="38" t="s">
        <v>566</v>
      </c>
      <c r="E395" s="23">
        <v>53</v>
      </c>
      <c r="F395" s="23">
        <v>49</v>
      </c>
      <c r="G395" s="23" t="s">
        <v>63</v>
      </c>
      <c r="H395" s="23" t="s">
        <v>63</v>
      </c>
    </row>
    <row r="396" spans="1:8" x14ac:dyDescent="0.35">
      <c r="A396" s="15" t="s">
        <v>17</v>
      </c>
      <c r="B396" s="6" t="s">
        <v>556</v>
      </c>
      <c r="C396" s="43"/>
      <c r="D396" s="38" t="s">
        <v>567</v>
      </c>
      <c r="E396" s="23" t="s">
        <v>63</v>
      </c>
      <c r="F396" s="23" t="s">
        <v>63</v>
      </c>
      <c r="G396" s="23">
        <v>90</v>
      </c>
      <c r="H396" s="23">
        <v>58</v>
      </c>
    </row>
    <row r="397" spans="1:8" x14ac:dyDescent="0.35">
      <c r="A397" s="15" t="s">
        <v>17</v>
      </c>
      <c r="B397" s="6" t="s">
        <v>556</v>
      </c>
      <c r="C397" s="43" t="s">
        <v>568</v>
      </c>
      <c r="D397" s="38" t="s">
        <v>569</v>
      </c>
      <c r="E397" s="23">
        <v>30</v>
      </c>
      <c r="F397" s="23">
        <v>30</v>
      </c>
      <c r="G397" s="23" t="s">
        <v>63</v>
      </c>
      <c r="H397" s="23" t="s">
        <v>63</v>
      </c>
    </row>
    <row r="398" spans="1:8" x14ac:dyDescent="0.35">
      <c r="A398" s="15" t="s">
        <v>17</v>
      </c>
      <c r="B398" s="6" t="s">
        <v>556</v>
      </c>
      <c r="C398" s="43"/>
      <c r="D398" s="38" t="s">
        <v>570</v>
      </c>
      <c r="E398" s="23" t="s">
        <v>63</v>
      </c>
      <c r="F398" s="23" t="s">
        <v>63</v>
      </c>
      <c r="G398" s="23">
        <v>68</v>
      </c>
      <c r="H398" s="23">
        <v>50</v>
      </c>
    </row>
    <row r="399" spans="1:8" x14ac:dyDescent="0.35">
      <c r="A399" s="15" t="s">
        <v>17</v>
      </c>
      <c r="B399" s="6" t="s">
        <v>556</v>
      </c>
      <c r="C399" s="43"/>
      <c r="D399" s="38" t="s">
        <v>571</v>
      </c>
      <c r="E399" s="23">
        <v>60</v>
      </c>
      <c r="F399" s="23">
        <v>58</v>
      </c>
      <c r="G399" s="23">
        <v>81</v>
      </c>
      <c r="H399" s="23">
        <v>57</v>
      </c>
    </row>
    <row r="400" spans="1:8" x14ac:dyDescent="0.35">
      <c r="A400" s="15" t="s">
        <v>17</v>
      </c>
      <c r="B400" s="6" t="s">
        <v>556</v>
      </c>
      <c r="C400" s="43"/>
      <c r="D400" s="38" t="s">
        <v>572</v>
      </c>
      <c r="E400" s="23">
        <v>27</v>
      </c>
      <c r="F400" s="23">
        <v>25</v>
      </c>
      <c r="G400" s="23">
        <v>30</v>
      </c>
      <c r="H400" s="23">
        <v>24</v>
      </c>
    </row>
    <row r="401" spans="1:8" x14ac:dyDescent="0.35">
      <c r="A401" s="15" t="s">
        <v>17</v>
      </c>
      <c r="B401" s="6" t="s">
        <v>556</v>
      </c>
      <c r="C401" s="43" t="s">
        <v>573</v>
      </c>
      <c r="D401" s="38" t="s">
        <v>574</v>
      </c>
      <c r="E401" s="23">
        <v>25</v>
      </c>
      <c r="F401" s="23">
        <v>23</v>
      </c>
      <c r="G401" s="23">
        <v>27</v>
      </c>
      <c r="H401" s="23">
        <v>22</v>
      </c>
    </row>
    <row r="402" spans="1:8" x14ac:dyDescent="0.35">
      <c r="A402" s="15" t="s">
        <v>17</v>
      </c>
      <c r="B402" s="6" t="s">
        <v>556</v>
      </c>
      <c r="C402" s="43"/>
      <c r="D402" s="38" t="s">
        <v>575</v>
      </c>
      <c r="E402" s="23">
        <v>59</v>
      </c>
      <c r="F402" s="23">
        <v>56</v>
      </c>
      <c r="G402" s="23">
        <v>75</v>
      </c>
      <c r="H402" s="23">
        <v>48</v>
      </c>
    </row>
    <row r="403" spans="1:8" x14ac:dyDescent="0.35">
      <c r="A403" s="15" t="s">
        <v>17</v>
      </c>
      <c r="B403" s="6" t="s">
        <v>556</v>
      </c>
      <c r="C403" s="43"/>
      <c r="D403" s="38" t="s">
        <v>576</v>
      </c>
      <c r="E403" s="23" t="s">
        <v>63</v>
      </c>
      <c r="F403" s="23" t="s">
        <v>63</v>
      </c>
      <c r="G403" s="23">
        <v>34</v>
      </c>
      <c r="H403" s="23">
        <v>29</v>
      </c>
    </row>
    <row r="404" spans="1:8" x14ac:dyDescent="0.35">
      <c r="A404" s="15" t="s">
        <v>17</v>
      </c>
      <c r="B404" s="6" t="s">
        <v>556</v>
      </c>
      <c r="C404" s="43"/>
      <c r="D404" s="38" t="s">
        <v>577</v>
      </c>
      <c r="E404" s="23" t="s">
        <v>63</v>
      </c>
      <c r="F404" s="23" t="s">
        <v>63</v>
      </c>
      <c r="G404" s="23">
        <v>79</v>
      </c>
      <c r="H404" s="23">
        <v>44</v>
      </c>
    </row>
    <row r="405" spans="1:8" x14ac:dyDescent="0.35">
      <c r="A405" s="15" t="s">
        <v>17</v>
      </c>
      <c r="B405" s="6" t="s">
        <v>556</v>
      </c>
      <c r="C405" s="43"/>
      <c r="D405" s="38" t="s">
        <v>578</v>
      </c>
      <c r="E405" s="23">
        <v>27</v>
      </c>
      <c r="F405" s="23">
        <v>26</v>
      </c>
      <c r="G405" s="23">
        <v>36</v>
      </c>
      <c r="H405" s="23">
        <v>34</v>
      </c>
    </row>
    <row r="406" spans="1:8" x14ac:dyDescent="0.35">
      <c r="A406" s="15" t="s">
        <v>17</v>
      </c>
      <c r="B406" s="6" t="s">
        <v>556</v>
      </c>
      <c r="C406" s="43" t="s">
        <v>557</v>
      </c>
      <c r="E406" s="23"/>
      <c r="F406" s="23"/>
      <c r="G406" s="23"/>
      <c r="H406" s="23"/>
    </row>
    <row r="407" spans="1:8" x14ac:dyDescent="0.35">
      <c r="A407" s="15" t="s">
        <v>17</v>
      </c>
      <c r="B407" s="6" t="s">
        <v>579</v>
      </c>
      <c r="C407" s="43" t="s">
        <v>580</v>
      </c>
      <c r="E407" s="23"/>
      <c r="F407" s="23"/>
      <c r="G407" s="23"/>
      <c r="H407" s="23"/>
    </row>
    <row r="408" spans="1:8" x14ac:dyDescent="0.35">
      <c r="A408" s="15" t="s">
        <v>17</v>
      </c>
      <c r="B408" s="6" t="s">
        <v>579</v>
      </c>
      <c r="C408" s="43"/>
      <c r="E408" s="23"/>
      <c r="F408" s="23"/>
      <c r="G408" s="23"/>
      <c r="H408" s="23"/>
    </row>
    <row r="409" spans="1:8" x14ac:dyDescent="0.35">
      <c r="A409" s="15" t="s">
        <v>17</v>
      </c>
      <c r="B409" s="6" t="s">
        <v>579</v>
      </c>
      <c r="C409" s="43"/>
      <c r="D409" s="38" t="s">
        <v>581</v>
      </c>
      <c r="E409" s="23">
        <v>41</v>
      </c>
      <c r="F409" s="23">
        <v>40</v>
      </c>
      <c r="G409" s="23" t="s">
        <v>63</v>
      </c>
      <c r="H409" s="23" t="s">
        <v>63</v>
      </c>
    </row>
    <row r="410" spans="1:8" x14ac:dyDescent="0.35">
      <c r="A410" s="15" t="s">
        <v>17</v>
      </c>
      <c r="B410" s="6" t="s">
        <v>579</v>
      </c>
      <c r="C410" s="43"/>
      <c r="D410" s="38" t="s">
        <v>582</v>
      </c>
      <c r="E410" s="23">
        <v>16</v>
      </c>
      <c r="F410" s="23">
        <v>15</v>
      </c>
      <c r="G410" s="23">
        <v>18</v>
      </c>
      <c r="H410" s="23">
        <v>16</v>
      </c>
    </row>
    <row r="411" spans="1:8" x14ac:dyDescent="0.35">
      <c r="A411" s="15" t="s">
        <v>17</v>
      </c>
      <c r="B411" s="6" t="s">
        <v>579</v>
      </c>
      <c r="C411" s="43"/>
      <c r="D411" s="38" t="s">
        <v>583</v>
      </c>
      <c r="E411" s="23">
        <v>20</v>
      </c>
      <c r="F411" s="23">
        <v>19</v>
      </c>
      <c r="G411" s="23">
        <v>23</v>
      </c>
      <c r="H411" s="23">
        <v>20</v>
      </c>
    </row>
    <row r="412" spans="1:8" x14ac:dyDescent="0.35">
      <c r="A412" s="15" t="s">
        <v>584</v>
      </c>
      <c r="B412" s="35" t="s">
        <v>271</v>
      </c>
      <c r="C412" s="5" t="s">
        <v>585</v>
      </c>
      <c r="D412" s="38" t="s">
        <v>554</v>
      </c>
      <c r="E412" s="21">
        <v>67</v>
      </c>
      <c r="F412" s="21">
        <v>65</v>
      </c>
      <c r="G412" s="21">
        <v>78</v>
      </c>
      <c r="H412" s="21">
        <v>50</v>
      </c>
    </row>
    <row r="413" spans="1:8" x14ac:dyDescent="0.35">
      <c r="A413" s="15" t="s">
        <v>584</v>
      </c>
      <c r="B413" s="6" t="s">
        <v>75</v>
      </c>
      <c r="C413" s="8" t="s">
        <v>586</v>
      </c>
      <c r="D413" s="38" t="s">
        <v>587</v>
      </c>
      <c r="E413" s="21">
        <v>35</v>
      </c>
      <c r="F413" s="21">
        <v>34</v>
      </c>
      <c r="G413" s="21">
        <v>41</v>
      </c>
      <c r="H413" s="21">
        <v>30</v>
      </c>
    </row>
    <row r="414" spans="1:8" x14ac:dyDescent="0.35">
      <c r="A414" s="15" t="s">
        <v>584</v>
      </c>
      <c r="B414" s="6" t="s">
        <v>57</v>
      </c>
      <c r="C414" s="6" t="s">
        <v>588</v>
      </c>
      <c r="D414" s="38" t="s">
        <v>548</v>
      </c>
      <c r="E414" s="21" t="s">
        <v>63</v>
      </c>
      <c r="F414" s="21" t="s">
        <v>63</v>
      </c>
      <c r="G414" s="21">
        <v>59</v>
      </c>
      <c r="H414" s="21">
        <v>49</v>
      </c>
    </row>
    <row r="415" spans="1:8" x14ac:dyDescent="0.35">
      <c r="A415" s="15" t="s">
        <v>584</v>
      </c>
      <c r="B415" s="6" t="s">
        <v>178</v>
      </c>
      <c r="C415" s="6" t="s">
        <v>589</v>
      </c>
      <c r="D415" s="38" t="s">
        <v>590</v>
      </c>
      <c r="E415" s="21" t="s">
        <v>63</v>
      </c>
      <c r="F415" s="21" t="s">
        <v>63</v>
      </c>
      <c r="G415" s="21">
        <v>34</v>
      </c>
      <c r="H415" s="21">
        <v>29</v>
      </c>
    </row>
    <row r="416" spans="1:8" x14ac:dyDescent="0.35">
      <c r="A416" s="15" t="s">
        <v>584</v>
      </c>
      <c r="B416" s="6" t="s">
        <v>528</v>
      </c>
      <c r="C416" s="6" t="s">
        <v>591</v>
      </c>
      <c r="D416" s="38" t="s">
        <v>592</v>
      </c>
      <c r="E416" s="21">
        <v>23</v>
      </c>
      <c r="F416" s="21">
        <v>22</v>
      </c>
      <c r="G416" s="21">
        <v>29</v>
      </c>
      <c r="H416" s="21">
        <v>28</v>
      </c>
    </row>
    <row r="417" spans="1:8" x14ac:dyDescent="0.35">
      <c r="A417" s="15" t="s">
        <v>584</v>
      </c>
      <c r="B417" s="6" t="s">
        <v>91</v>
      </c>
      <c r="C417" s="6" t="s">
        <v>593</v>
      </c>
      <c r="D417" s="38" t="s">
        <v>594</v>
      </c>
      <c r="E417" s="21" t="s">
        <v>63</v>
      </c>
      <c r="F417" s="21" t="s">
        <v>63</v>
      </c>
      <c r="G417" s="21" t="s">
        <v>63</v>
      </c>
      <c r="H417" s="21" t="s">
        <v>63</v>
      </c>
    </row>
    <row r="418" spans="1:8" x14ac:dyDescent="0.35">
      <c r="A418" s="15" t="s">
        <v>584</v>
      </c>
      <c r="B418" s="6" t="s">
        <v>57</v>
      </c>
      <c r="C418" s="6" t="s">
        <v>595</v>
      </c>
      <c r="D418" s="38" t="s">
        <v>596</v>
      </c>
      <c r="E418" s="21" t="s">
        <v>63</v>
      </c>
      <c r="F418" s="21" t="s">
        <v>63</v>
      </c>
      <c r="G418" s="21">
        <v>50</v>
      </c>
      <c r="H418" s="21">
        <v>33</v>
      </c>
    </row>
    <row r="419" spans="1:8" x14ac:dyDescent="0.35">
      <c r="A419" s="14" t="s">
        <v>597</v>
      </c>
      <c r="B419" s="37"/>
      <c r="C419" s="27"/>
      <c r="D419" s="42"/>
      <c r="E419" s="23"/>
      <c r="F419" s="23"/>
      <c r="G419" s="23"/>
      <c r="H419" s="23"/>
    </row>
    <row r="420" spans="1:8" x14ac:dyDescent="0.35">
      <c r="A420" s="14" t="s">
        <v>598</v>
      </c>
      <c r="B420" s="37"/>
      <c r="C420" s="27"/>
      <c r="D420" s="42"/>
      <c r="E420" s="23"/>
      <c r="F420" s="23"/>
      <c r="G420" s="23"/>
      <c r="H420" s="23"/>
    </row>
    <row r="421" spans="1:8" x14ac:dyDescent="0.35">
      <c r="A421" s="15" t="s">
        <v>599</v>
      </c>
      <c r="B421" s="35" t="s">
        <v>57</v>
      </c>
      <c r="C421" s="5" t="s">
        <v>600</v>
      </c>
      <c r="D421" s="38" t="s">
        <v>128</v>
      </c>
      <c r="E421" s="21" t="s">
        <v>63</v>
      </c>
      <c r="F421" s="21" t="s">
        <v>63</v>
      </c>
      <c r="G421" s="21" t="s">
        <v>63</v>
      </c>
      <c r="H421" s="21" t="s">
        <v>63</v>
      </c>
    </row>
    <row r="422" spans="1:8" x14ac:dyDescent="0.35">
      <c r="A422" s="15" t="s">
        <v>599</v>
      </c>
      <c r="B422" s="6" t="s">
        <v>57</v>
      </c>
      <c r="C422" s="6" t="s">
        <v>601</v>
      </c>
      <c r="D422" s="38" t="s">
        <v>128</v>
      </c>
      <c r="E422" s="21" t="s">
        <v>63</v>
      </c>
      <c r="F422" s="21" t="s">
        <v>63</v>
      </c>
      <c r="G422" s="21" t="s">
        <v>63</v>
      </c>
      <c r="H422" s="21" t="s">
        <v>63</v>
      </c>
    </row>
    <row r="423" spans="1:8" x14ac:dyDescent="0.35">
      <c r="A423" s="15" t="s">
        <v>599</v>
      </c>
      <c r="B423" s="6" t="s">
        <v>57</v>
      </c>
      <c r="C423" s="6" t="s">
        <v>602</v>
      </c>
      <c r="D423" s="38" t="s">
        <v>603</v>
      </c>
      <c r="E423" s="21">
        <v>13</v>
      </c>
      <c r="F423" s="21">
        <v>13</v>
      </c>
      <c r="G423" s="21">
        <v>22</v>
      </c>
      <c r="H423" s="21">
        <v>21</v>
      </c>
    </row>
    <row r="424" spans="1:8" x14ac:dyDescent="0.35">
      <c r="A424" s="15" t="s">
        <v>599</v>
      </c>
      <c r="B424" s="6" t="s">
        <v>57</v>
      </c>
      <c r="C424" s="3" t="s">
        <v>604</v>
      </c>
      <c r="D424" s="38" t="s">
        <v>128</v>
      </c>
      <c r="E424" s="21" t="s">
        <v>63</v>
      </c>
      <c r="F424" s="21" t="s">
        <v>63</v>
      </c>
      <c r="G424" s="21">
        <v>41</v>
      </c>
      <c r="H424" s="21">
        <v>33</v>
      </c>
    </row>
    <row r="425" spans="1:8" x14ac:dyDescent="0.35">
      <c r="A425" s="15" t="s">
        <v>599</v>
      </c>
      <c r="B425" s="6" t="s">
        <v>57</v>
      </c>
      <c r="C425" s="3" t="s">
        <v>605</v>
      </c>
      <c r="D425" s="38" t="s">
        <v>128</v>
      </c>
      <c r="E425" s="21">
        <v>41</v>
      </c>
      <c r="F425" s="21">
        <v>38</v>
      </c>
      <c r="G425" s="21">
        <v>45</v>
      </c>
      <c r="H425" s="21">
        <v>33</v>
      </c>
    </row>
    <row r="426" spans="1:8" x14ac:dyDescent="0.35">
      <c r="A426" s="15" t="s">
        <v>599</v>
      </c>
      <c r="B426" s="6" t="s">
        <v>57</v>
      </c>
      <c r="C426" s="3" t="s">
        <v>606</v>
      </c>
      <c r="D426" s="38" t="s">
        <v>128</v>
      </c>
      <c r="E426" s="21">
        <v>14</v>
      </c>
      <c r="F426" s="21">
        <v>14</v>
      </c>
      <c r="G426" s="21">
        <v>28</v>
      </c>
      <c r="H426" s="21">
        <v>27</v>
      </c>
    </row>
    <row r="427" spans="1:8" x14ac:dyDescent="0.35">
      <c r="A427" s="15" t="s">
        <v>599</v>
      </c>
      <c r="B427" s="6" t="s">
        <v>57</v>
      </c>
      <c r="C427" s="3" t="s">
        <v>186</v>
      </c>
      <c r="D427" s="38" t="s">
        <v>128</v>
      </c>
      <c r="E427" s="21" t="s">
        <v>63</v>
      </c>
      <c r="F427" s="21" t="s">
        <v>63</v>
      </c>
      <c r="G427" s="21">
        <v>38</v>
      </c>
      <c r="H427" s="21">
        <v>29</v>
      </c>
    </row>
    <row r="428" spans="1:8" x14ac:dyDescent="0.35">
      <c r="A428" s="15" t="s">
        <v>599</v>
      </c>
      <c r="B428" s="6" t="s">
        <v>57</v>
      </c>
      <c r="C428" s="3" t="s">
        <v>607</v>
      </c>
      <c r="D428" s="38" t="s">
        <v>128</v>
      </c>
      <c r="E428" s="21">
        <v>13</v>
      </c>
      <c r="F428" s="21">
        <v>13</v>
      </c>
      <c r="G428" s="21" t="s">
        <v>63</v>
      </c>
      <c r="H428" s="21" t="s">
        <v>63</v>
      </c>
    </row>
    <row r="429" spans="1:8" x14ac:dyDescent="0.35">
      <c r="A429" s="15" t="s">
        <v>599</v>
      </c>
      <c r="B429" s="6" t="s">
        <v>57</v>
      </c>
      <c r="C429" s="44"/>
      <c r="D429" s="3" t="s">
        <v>608</v>
      </c>
      <c r="E429" s="21" t="s">
        <v>63</v>
      </c>
      <c r="F429" s="21" t="s">
        <v>63</v>
      </c>
      <c r="G429" s="21">
        <v>21</v>
      </c>
      <c r="H429" s="21">
        <v>29</v>
      </c>
    </row>
    <row r="430" spans="1:8" x14ac:dyDescent="0.35">
      <c r="A430" s="15" t="s">
        <v>599</v>
      </c>
      <c r="B430" s="6" t="s">
        <v>609</v>
      </c>
      <c r="C430" s="45"/>
      <c r="D430" s="38" t="s">
        <v>610</v>
      </c>
      <c r="E430" s="21">
        <v>13</v>
      </c>
      <c r="F430" s="21">
        <v>12</v>
      </c>
      <c r="G430" s="21">
        <v>14</v>
      </c>
      <c r="H430" s="21">
        <v>13</v>
      </c>
    </row>
    <row r="431" spans="1:8" x14ac:dyDescent="0.35">
      <c r="A431" s="15" t="s">
        <v>599</v>
      </c>
      <c r="B431" s="6" t="s">
        <v>609</v>
      </c>
      <c r="C431" s="44"/>
      <c r="D431" s="3" t="s">
        <v>611</v>
      </c>
      <c r="E431" s="21" t="s">
        <v>63</v>
      </c>
      <c r="F431" s="21" t="s">
        <v>63</v>
      </c>
      <c r="G431" s="21">
        <v>62</v>
      </c>
      <c r="H431" s="21">
        <v>36</v>
      </c>
    </row>
    <row r="432" spans="1:8" x14ac:dyDescent="0.35">
      <c r="A432" s="15" t="s">
        <v>599</v>
      </c>
      <c r="B432" s="6" t="s">
        <v>612</v>
      </c>
      <c r="C432" s="44"/>
      <c r="D432" s="3" t="s">
        <v>613</v>
      </c>
      <c r="E432" s="21">
        <v>24</v>
      </c>
      <c r="F432" s="21">
        <v>23</v>
      </c>
      <c r="G432" s="21">
        <v>28</v>
      </c>
      <c r="H432" s="21">
        <v>26</v>
      </c>
    </row>
    <row r="433" spans="1:9" x14ac:dyDescent="0.35">
      <c r="A433" s="15" t="s">
        <v>614</v>
      </c>
      <c r="B433" s="35" t="s">
        <v>57</v>
      </c>
      <c r="C433" s="44"/>
      <c r="D433" s="5" t="s">
        <v>615</v>
      </c>
      <c r="E433" s="21">
        <v>87</v>
      </c>
      <c r="F433" s="21">
        <v>81</v>
      </c>
      <c r="G433" s="21">
        <v>106</v>
      </c>
      <c r="H433" s="21">
        <v>61</v>
      </c>
    </row>
    <row r="434" spans="1:9" x14ac:dyDescent="0.35">
      <c r="A434" s="15" t="s">
        <v>614</v>
      </c>
      <c r="B434" s="6" t="s">
        <v>57</v>
      </c>
      <c r="C434" s="3" t="s">
        <v>616</v>
      </c>
      <c r="D434" s="38" t="s">
        <v>617</v>
      </c>
      <c r="E434" s="21">
        <v>64</v>
      </c>
      <c r="F434" s="21">
        <v>60</v>
      </c>
      <c r="G434" s="21">
        <v>72</v>
      </c>
      <c r="H434" s="21">
        <v>49</v>
      </c>
    </row>
    <row r="435" spans="1:9" x14ac:dyDescent="0.35">
      <c r="A435" s="15" t="s">
        <v>614</v>
      </c>
      <c r="B435" s="6" t="s">
        <v>112</v>
      </c>
      <c r="C435" s="3" t="s">
        <v>618</v>
      </c>
      <c r="D435" s="38" t="s">
        <v>619</v>
      </c>
      <c r="E435" s="21">
        <v>22</v>
      </c>
      <c r="F435" s="21">
        <v>20</v>
      </c>
      <c r="G435" s="21">
        <v>26</v>
      </c>
      <c r="H435" s="21">
        <v>24</v>
      </c>
      <c r="I435" t="s">
        <v>620</v>
      </c>
    </row>
    <row r="436" spans="1:9" x14ac:dyDescent="0.35">
      <c r="A436" s="15" t="s">
        <v>614</v>
      </c>
      <c r="B436" s="6" t="s">
        <v>271</v>
      </c>
      <c r="C436" s="3" t="s">
        <v>621</v>
      </c>
      <c r="D436" s="38" t="s">
        <v>622</v>
      </c>
      <c r="E436" s="21" t="s">
        <v>63</v>
      </c>
      <c r="F436" s="21" t="s">
        <v>63</v>
      </c>
      <c r="G436" s="21" t="s">
        <v>63</v>
      </c>
      <c r="H436" s="21" t="s">
        <v>63</v>
      </c>
    </row>
    <row r="437" spans="1:9" x14ac:dyDescent="0.35">
      <c r="A437" s="17" t="s">
        <v>623</v>
      </c>
      <c r="B437" s="31" t="s">
        <v>57</v>
      </c>
      <c r="C437" s="3" t="s">
        <v>624</v>
      </c>
      <c r="D437" s="42"/>
      <c r="E437" s="23"/>
      <c r="F437" s="23"/>
      <c r="G437" s="23"/>
      <c r="H437" s="23"/>
    </row>
    <row r="438" spans="1:9" x14ac:dyDescent="0.35">
      <c r="A438" s="17" t="s">
        <v>623</v>
      </c>
      <c r="B438" s="31" t="s">
        <v>57</v>
      </c>
      <c r="C438" s="3" t="s">
        <v>625</v>
      </c>
      <c r="D438" s="42"/>
      <c r="E438" s="23"/>
      <c r="F438" s="23"/>
      <c r="G438" s="23"/>
      <c r="H438" s="23"/>
    </row>
    <row r="439" spans="1:9" x14ac:dyDescent="0.35">
      <c r="A439" s="17" t="s">
        <v>623</v>
      </c>
      <c r="B439" s="6" t="s">
        <v>75</v>
      </c>
      <c r="C439" s="3" t="s">
        <v>626</v>
      </c>
      <c r="D439" s="38" t="s">
        <v>627</v>
      </c>
      <c r="E439" s="21">
        <v>70</v>
      </c>
      <c r="F439" s="21">
        <v>64</v>
      </c>
      <c r="G439" s="21">
        <v>84</v>
      </c>
      <c r="H439" s="21">
        <v>42</v>
      </c>
    </row>
    <row r="440" spans="1:9" x14ac:dyDescent="0.35">
      <c r="A440" s="17" t="s">
        <v>623</v>
      </c>
      <c r="B440" s="6" t="s">
        <v>75</v>
      </c>
      <c r="C440" s="3" t="s">
        <v>628</v>
      </c>
      <c r="D440" s="38" t="s">
        <v>629</v>
      </c>
      <c r="E440" s="21" t="s">
        <v>63</v>
      </c>
      <c r="F440" s="21" t="s">
        <v>63</v>
      </c>
      <c r="G440" s="21">
        <v>107</v>
      </c>
      <c r="H440" s="21">
        <v>70</v>
      </c>
    </row>
    <row r="441" spans="1:9" x14ac:dyDescent="0.35">
      <c r="A441" s="17" t="s">
        <v>623</v>
      </c>
      <c r="B441" s="6" t="s">
        <v>75</v>
      </c>
      <c r="C441" s="3" t="s">
        <v>630</v>
      </c>
      <c r="D441" s="38" t="s">
        <v>631</v>
      </c>
      <c r="E441" s="21">
        <v>54</v>
      </c>
      <c r="F441" s="21">
        <v>52</v>
      </c>
      <c r="G441" s="21">
        <v>63</v>
      </c>
      <c r="H441" s="21">
        <v>37</v>
      </c>
    </row>
    <row r="442" spans="1:9" ht="29" x14ac:dyDescent="0.35">
      <c r="A442" s="17" t="s">
        <v>623</v>
      </c>
      <c r="B442" s="6" t="s">
        <v>75</v>
      </c>
      <c r="C442" s="3" t="s">
        <v>632</v>
      </c>
      <c r="D442" s="38" t="s">
        <v>507</v>
      </c>
      <c r="E442" s="21" t="s">
        <v>63</v>
      </c>
      <c r="F442" s="21" t="s">
        <v>63</v>
      </c>
      <c r="G442" s="21">
        <v>53</v>
      </c>
      <c r="H442" s="21">
        <v>47</v>
      </c>
    </row>
    <row r="443" spans="1:9" x14ac:dyDescent="0.35">
      <c r="A443" s="17" t="s">
        <v>623</v>
      </c>
      <c r="B443" s="6" t="s">
        <v>93</v>
      </c>
      <c r="C443" s="3" t="s">
        <v>633</v>
      </c>
      <c r="D443" s="38" t="s">
        <v>634</v>
      </c>
      <c r="E443" s="21">
        <v>35</v>
      </c>
      <c r="F443" s="21">
        <v>34</v>
      </c>
      <c r="G443" s="21">
        <v>41</v>
      </c>
      <c r="H443" s="21">
        <v>36</v>
      </c>
    </row>
    <row r="444" spans="1:9" x14ac:dyDescent="0.35">
      <c r="A444" s="17" t="s">
        <v>623</v>
      </c>
      <c r="B444" s="6" t="s">
        <v>75</v>
      </c>
      <c r="C444" s="3" t="s">
        <v>635</v>
      </c>
      <c r="D444" s="42"/>
      <c r="E444" s="23"/>
      <c r="F444" s="23"/>
      <c r="G444" s="23"/>
      <c r="H444" s="23"/>
    </row>
    <row r="445" spans="1:9" x14ac:dyDescent="0.35">
      <c r="A445" s="17" t="s">
        <v>623</v>
      </c>
      <c r="B445" s="31" t="s">
        <v>75</v>
      </c>
      <c r="C445" s="3" t="s">
        <v>636</v>
      </c>
      <c r="D445" s="42"/>
      <c r="E445" s="23"/>
      <c r="F445" s="23"/>
      <c r="G445" s="23"/>
      <c r="H445" s="23"/>
      <c r="I445" s="24" t="s">
        <v>637</v>
      </c>
    </row>
    <row r="446" spans="1:9" x14ac:dyDescent="0.35">
      <c r="A446" s="17"/>
      <c r="B446" s="6" t="s">
        <v>93</v>
      </c>
      <c r="C446" s="3" t="s">
        <v>638</v>
      </c>
      <c r="D446" s="38" t="s">
        <v>639</v>
      </c>
      <c r="E446" s="21" t="s">
        <v>63</v>
      </c>
      <c r="F446" s="21" t="s">
        <v>63</v>
      </c>
      <c r="G446" s="21">
        <v>18</v>
      </c>
      <c r="H446" s="21">
        <v>18</v>
      </c>
    </row>
    <row r="447" spans="1:9" x14ac:dyDescent="0.35">
      <c r="A447" s="17" t="s">
        <v>623</v>
      </c>
      <c r="B447" s="6" t="s">
        <v>112</v>
      </c>
      <c r="C447" s="3" t="s">
        <v>640</v>
      </c>
      <c r="D447" s="38" t="s">
        <v>641</v>
      </c>
      <c r="E447" s="21">
        <v>37</v>
      </c>
      <c r="F447" s="21">
        <v>35</v>
      </c>
      <c r="G447" s="21">
        <v>44</v>
      </c>
      <c r="H447" s="21">
        <v>30</v>
      </c>
    </row>
    <row r="448" spans="1:9" x14ac:dyDescent="0.35">
      <c r="A448" s="17" t="s">
        <v>623</v>
      </c>
      <c r="B448" s="6" t="s">
        <v>112</v>
      </c>
      <c r="C448" s="3" t="s">
        <v>642</v>
      </c>
      <c r="D448" s="38" t="s">
        <v>643</v>
      </c>
      <c r="E448" s="21">
        <v>15</v>
      </c>
      <c r="F448" s="21">
        <v>14</v>
      </c>
      <c r="G448" s="21">
        <v>18</v>
      </c>
      <c r="H448" s="21">
        <v>15</v>
      </c>
    </row>
    <row r="449" spans="1:8" x14ac:dyDescent="0.35">
      <c r="A449" s="17" t="s">
        <v>623</v>
      </c>
      <c r="B449" s="6" t="s">
        <v>112</v>
      </c>
      <c r="C449" s="3" t="s">
        <v>644</v>
      </c>
      <c r="D449" s="38" t="s">
        <v>645</v>
      </c>
      <c r="E449" s="21">
        <v>63</v>
      </c>
      <c r="F449" s="21">
        <v>57</v>
      </c>
      <c r="G449" s="21">
        <v>71</v>
      </c>
      <c r="H449" s="21">
        <v>55</v>
      </c>
    </row>
    <row r="450" spans="1:8" x14ac:dyDescent="0.35">
      <c r="A450" s="17" t="s">
        <v>623</v>
      </c>
      <c r="B450" s="6" t="s">
        <v>112</v>
      </c>
      <c r="C450" s="3" t="s">
        <v>646</v>
      </c>
      <c r="D450" s="38" t="s">
        <v>647</v>
      </c>
      <c r="E450" s="21">
        <v>35</v>
      </c>
      <c r="F450" s="21">
        <v>33</v>
      </c>
      <c r="G450" s="21">
        <v>41</v>
      </c>
      <c r="H450" s="21">
        <v>31</v>
      </c>
    </row>
    <row r="451" spans="1:8" x14ac:dyDescent="0.35">
      <c r="A451" s="17" t="s">
        <v>623</v>
      </c>
      <c r="B451" s="31" t="s">
        <v>182</v>
      </c>
      <c r="C451" s="3" t="s">
        <v>648</v>
      </c>
      <c r="D451" s="42"/>
      <c r="E451" s="23"/>
      <c r="F451" s="23"/>
      <c r="G451" s="23"/>
      <c r="H451" s="23"/>
    </row>
    <row r="452" spans="1:8" x14ac:dyDescent="0.35">
      <c r="A452" s="17" t="s">
        <v>623</v>
      </c>
      <c r="B452" s="31" t="s">
        <v>649</v>
      </c>
      <c r="C452" s="3" t="s">
        <v>650</v>
      </c>
      <c r="D452" s="42"/>
      <c r="E452" s="23"/>
      <c r="F452" s="23"/>
      <c r="G452" s="23"/>
      <c r="H452" s="23"/>
    </row>
    <row r="453" spans="1:8" x14ac:dyDescent="0.35">
      <c r="A453" s="17" t="s">
        <v>623</v>
      </c>
      <c r="B453" s="6" t="s">
        <v>271</v>
      </c>
      <c r="C453" s="3" t="s">
        <v>651</v>
      </c>
      <c r="D453" s="38" t="s">
        <v>652</v>
      </c>
      <c r="E453" s="21" t="s">
        <v>63</v>
      </c>
      <c r="F453" s="21" t="s">
        <v>63</v>
      </c>
      <c r="G453" s="21">
        <v>61</v>
      </c>
      <c r="H453" s="21">
        <v>47</v>
      </c>
    </row>
    <row r="454" spans="1:8" x14ac:dyDescent="0.35">
      <c r="A454" s="17" t="s">
        <v>623</v>
      </c>
      <c r="B454" s="6" t="s">
        <v>101</v>
      </c>
      <c r="C454" s="6" t="s">
        <v>653</v>
      </c>
      <c r="D454" s="38" t="s">
        <v>654</v>
      </c>
      <c r="E454" s="21" t="s">
        <v>63</v>
      </c>
      <c r="F454" s="21" t="s">
        <v>63</v>
      </c>
      <c r="G454" s="21" t="s">
        <v>63</v>
      </c>
      <c r="H454" s="21" t="s">
        <v>63</v>
      </c>
    </row>
    <row r="455" spans="1:8" x14ac:dyDescent="0.35">
      <c r="A455" s="17" t="s">
        <v>623</v>
      </c>
      <c r="B455" s="31" t="s">
        <v>91</v>
      </c>
      <c r="C455" s="6" t="s">
        <v>655</v>
      </c>
      <c r="D455" s="42"/>
      <c r="E455" s="23"/>
      <c r="F455" s="23"/>
      <c r="G455" s="23"/>
      <c r="H455" s="23"/>
    </row>
    <row r="456" spans="1:8" x14ac:dyDescent="0.35">
      <c r="A456" s="17" t="s">
        <v>623</v>
      </c>
      <c r="B456" s="31" t="s">
        <v>104</v>
      </c>
      <c r="C456" s="6" t="s">
        <v>656</v>
      </c>
      <c r="D456" s="42"/>
      <c r="E456" s="23"/>
      <c r="F456" s="23"/>
      <c r="G456" s="23"/>
      <c r="H456" s="23"/>
    </row>
    <row r="457" spans="1:8" x14ac:dyDescent="0.35">
      <c r="A457" s="17" t="s">
        <v>623</v>
      </c>
      <c r="B457" s="31" t="s">
        <v>104</v>
      </c>
      <c r="C457" s="6" t="s">
        <v>657</v>
      </c>
      <c r="D457" s="42"/>
      <c r="E457" s="23"/>
      <c r="F457" s="23"/>
      <c r="G457" s="23"/>
      <c r="H457" s="23"/>
    </row>
    <row r="458" spans="1:8" x14ac:dyDescent="0.35">
      <c r="A458" s="17" t="s">
        <v>623</v>
      </c>
      <c r="B458" s="31" t="s">
        <v>60</v>
      </c>
      <c r="C458" s="6" t="s">
        <v>658</v>
      </c>
      <c r="D458" s="42"/>
      <c r="E458" s="23"/>
      <c r="F458" s="23"/>
      <c r="G458" s="23"/>
      <c r="H458" s="23"/>
    </row>
    <row r="459" spans="1:8" x14ac:dyDescent="0.35">
      <c r="A459" s="17" t="s">
        <v>623</v>
      </c>
      <c r="B459" s="6" t="s">
        <v>88</v>
      </c>
      <c r="C459" s="6" t="s">
        <v>659</v>
      </c>
      <c r="D459" s="38" t="s">
        <v>660</v>
      </c>
      <c r="E459">
        <v>28</v>
      </c>
      <c r="F459">
        <v>27</v>
      </c>
      <c r="G459">
        <v>34</v>
      </c>
      <c r="H459">
        <v>27</v>
      </c>
    </row>
    <row r="460" spans="1:8" x14ac:dyDescent="0.35">
      <c r="A460" s="17" t="s">
        <v>623</v>
      </c>
      <c r="B460" s="6" t="s">
        <v>88</v>
      </c>
      <c r="C460" s="6" t="s">
        <v>661</v>
      </c>
      <c r="D460" s="38" t="s">
        <v>662</v>
      </c>
      <c r="E460" s="21">
        <v>13</v>
      </c>
      <c r="F460" s="21">
        <v>12</v>
      </c>
      <c r="G460" s="21" t="s">
        <v>63</v>
      </c>
      <c r="H460" s="21" t="s">
        <v>63</v>
      </c>
    </row>
    <row r="461" spans="1:8" x14ac:dyDescent="0.35">
      <c r="A461" s="17" t="s">
        <v>623</v>
      </c>
      <c r="B461" s="6" t="s">
        <v>88</v>
      </c>
      <c r="C461" s="6" t="s">
        <v>663</v>
      </c>
      <c r="D461" s="38" t="s">
        <v>664</v>
      </c>
      <c r="E461" s="21" t="s">
        <v>63</v>
      </c>
      <c r="F461" s="21" t="s">
        <v>63</v>
      </c>
      <c r="G461" s="21" t="s">
        <v>63</v>
      </c>
      <c r="H461" s="21" t="s">
        <v>63</v>
      </c>
    </row>
    <row r="462" spans="1:8" x14ac:dyDescent="0.35">
      <c r="A462" s="17" t="s">
        <v>623</v>
      </c>
      <c r="B462" s="6" t="s">
        <v>88</v>
      </c>
      <c r="C462" s="6" t="s">
        <v>665</v>
      </c>
      <c r="D462" s="38" t="s">
        <v>666</v>
      </c>
      <c r="E462" s="21" t="s">
        <v>63</v>
      </c>
      <c r="F462" s="21" t="s">
        <v>63</v>
      </c>
      <c r="G462" s="21" t="s">
        <v>63</v>
      </c>
      <c r="H462" s="21" t="s">
        <v>63</v>
      </c>
    </row>
    <row r="463" spans="1:8" x14ac:dyDescent="0.35">
      <c r="A463" s="17" t="s">
        <v>623</v>
      </c>
      <c r="B463" s="6" t="s">
        <v>667</v>
      </c>
      <c r="C463" s="6" t="s">
        <v>668</v>
      </c>
      <c r="D463" s="38" t="s">
        <v>669</v>
      </c>
      <c r="E463" s="21">
        <v>8</v>
      </c>
      <c r="F463" s="21">
        <v>8</v>
      </c>
      <c r="G463" s="21">
        <v>10</v>
      </c>
      <c r="H463" s="21">
        <v>7</v>
      </c>
    </row>
    <row r="465" spans="5:8" x14ac:dyDescent="0.35">
      <c r="E465">
        <f>AVERAGE(E3:E463)</f>
        <v>34.53413654618474</v>
      </c>
      <c r="F465">
        <f>AVERAGE(F3:F463)</f>
        <v>32.847389558232933</v>
      </c>
      <c r="G465">
        <f>AVERAGE(G3:G463)</f>
        <v>49.81707317073171</v>
      </c>
      <c r="H465">
        <f>AVERAGE(H3:H463)</f>
        <v>36.398373983739837</v>
      </c>
    </row>
    <row r="466" spans="5:8" x14ac:dyDescent="0.35">
      <c r="E466">
        <f>MEDIAN(E3:E463)</f>
        <v>27</v>
      </c>
      <c r="F466">
        <f t="shared" ref="F466:H466" si="0">MEDIAN(F3:F463)</f>
        <v>26</v>
      </c>
      <c r="G466">
        <f t="shared" si="0"/>
        <v>43</v>
      </c>
      <c r="H466">
        <f t="shared" si="0"/>
        <v>32.5</v>
      </c>
    </row>
  </sheetData>
  <mergeCells count="2">
    <mergeCell ref="E1:F1"/>
    <mergeCell ref="G1:H1"/>
  </mergeCells>
  <conditionalFormatting sqref="E1:E1048576 G399">
    <cfRule type="cellIs" dxfId="3" priority="2" operator="equal">
      <formula>"nv"</formula>
    </cfRule>
  </conditionalFormatting>
  <conditionalFormatting sqref="G404">
    <cfRule type="cellIs" dxfId="2" priority="1" operator="equal">
      <formula>"nv"</formula>
    </cfRule>
  </conditionalFormatting>
  <hyperlinks>
    <hyperlink ref="I445" r:id="rId1" xr:uid="{A0F39467-6830-4648-8BA8-051A236975FB}"/>
    <hyperlink ref="C390" r:id="rId2" xr:uid="{E6132894-4E07-4F62-B473-5E4CAB36B7FE}"/>
    <hyperlink ref="C406" r:id="rId3" xr:uid="{4DA0BB6A-B4D2-4A2F-BAF5-C1C78ADB17BA}"/>
    <hyperlink ref="C407" r:id="rId4" xr:uid="{C59F7D96-EEEB-4895-AC5E-C27066A9D24D}"/>
    <hyperlink ref="I331" r:id="rId5" xr:uid="{24479F2A-B69C-4266-BAE4-02996A62028B}"/>
  </hyperlinks>
  <pageMargins left="0.7" right="0.7" top="0.78740157499999996" bottom="0.78740157499999996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CAAF-7851-4DC3-99BB-0A4FB7D84923}">
  <dimension ref="A1:L49"/>
  <sheetViews>
    <sheetView zoomScale="115" zoomScaleNormal="115" workbookViewId="0">
      <selection activeCell="E13" sqref="E13"/>
    </sheetView>
  </sheetViews>
  <sheetFormatPr baseColWidth="10" defaultColWidth="11.453125" defaultRowHeight="12" x14ac:dyDescent="0.3"/>
  <cols>
    <col min="1" max="1" width="42.54296875" style="77" customWidth="1"/>
    <col min="2" max="2" width="11.453125" style="63"/>
    <col min="3" max="3" width="11.453125" style="58"/>
    <col min="4" max="4" width="11.453125" style="63"/>
    <col min="5" max="6" width="11.453125" style="58" customWidth="1"/>
    <col min="7" max="7" width="11.453125" style="65"/>
    <col min="8" max="8" width="11.453125" style="58"/>
    <col min="9" max="9" width="11.453125" style="65"/>
    <col min="10" max="11" width="11.453125" style="58"/>
    <col min="12" max="12" width="11.453125" style="65"/>
    <col min="13" max="16384" width="11.453125" style="58"/>
  </cols>
  <sheetData>
    <row r="1" spans="1:12" x14ac:dyDescent="0.3">
      <c r="B1" s="145" t="s">
        <v>670</v>
      </c>
      <c r="C1" s="147"/>
      <c r="D1" s="145" t="s">
        <v>671</v>
      </c>
      <c r="E1" s="146"/>
      <c r="F1" s="146"/>
      <c r="G1" s="147"/>
      <c r="H1" s="145" t="s">
        <v>672</v>
      </c>
      <c r="I1" s="147"/>
      <c r="J1" s="145" t="s">
        <v>673</v>
      </c>
      <c r="K1" s="146"/>
      <c r="L1" s="147"/>
    </row>
    <row r="2" spans="1:12" s="59" customFormat="1" x14ac:dyDescent="0.3">
      <c r="A2" s="78"/>
      <c r="B2" s="60" t="s">
        <v>674</v>
      </c>
      <c r="C2" s="59" t="s">
        <v>675</v>
      </c>
      <c r="D2" s="73" t="s">
        <v>676</v>
      </c>
      <c r="E2" s="59" t="s">
        <v>677</v>
      </c>
      <c r="F2" s="59" t="s">
        <v>678</v>
      </c>
      <c r="G2" s="62" t="s">
        <v>679</v>
      </c>
      <c r="H2" s="75" t="s">
        <v>676</v>
      </c>
      <c r="I2" s="76" t="s">
        <v>678</v>
      </c>
      <c r="J2" s="61" t="s">
        <v>680</v>
      </c>
      <c r="K2" s="61" t="s">
        <v>681</v>
      </c>
      <c r="L2" s="62" t="s">
        <v>682</v>
      </c>
    </row>
    <row r="3" spans="1:12" x14ac:dyDescent="0.3">
      <c r="A3" s="79" t="s">
        <v>56</v>
      </c>
      <c r="C3" s="58">
        <f>COUNTIFS('h-index-alt'!A:A,'überblick-alt'!A3)</f>
        <v>4</v>
      </c>
      <c r="D3" s="67">
        <f>IFERROR(SUMIFS('h-index-alt'!$E$3:$E$463,'h-index-alt'!$A$3:$A$463,A3)/COUNTIFS('h-index-alt'!$E$3:$E$463,"&lt;&gt;nv",'h-index-alt'!$E$3:$E$463,"&lt;&gt;",'h-index-alt'!$A$3:$A$463,'überblick-alt'!A3),"")</f>
        <v>28.666666666666668</v>
      </c>
      <c r="E3" s="64">
        <f>SUMIFS('h-index-alt'!F$3:F$463,'h-index-alt'!$A$3:$A$463,'überblick-alt'!$A3)/COUNTIFS('h-index-alt'!$A$3:$A$463,'überblick-alt'!$A3)</f>
        <v>20.25</v>
      </c>
      <c r="F3" s="64">
        <f>SUMIFS('h-index-alt'!G$3:G$463,'h-index-alt'!$A$3:$A$463,'überblick-alt'!$A3)/COUNTIFS('h-index-alt'!$A$3:$A$463,'überblick-alt'!$A3)</f>
        <v>22.75</v>
      </c>
      <c r="G3" s="66">
        <f>IFERROR(SUMIFS('h-index-alt'!$H$3:$H$463,'h-index-alt'!$A$3:$A$463,A3)/COUNTIFS('h-index-alt'!$H$3:$H$463,"&lt;&gt;nv",'h-index-alt'!$H$3:$H$463,"&lt;&gt;",'h-index-alt'!$A$3:$A$463,'überblick-alt'!A3),"")</f>
        <v>31</v>
      </c>
      <c r="H3" s="83">
        <f>IFERROR(SUMIFS('h-index-alt'!$E$3:$E$463,'h-index-alt'!$A$3:$A$463,A3,'h-index-alt'!$H$3:$H$463,"&lt;&gt;nv")/COUNTIFS('h-index-alt'!$E$3:$E$463,"&lt;&gt;nv",'h-index-alt'!$E$3:$E$463,"&lt;&gt;",'h-index-alt'!$A$3:$A$463,'überblick-alt'!A3,'h-index-alt'!$H$3:$H$463,"&lt;&gt;nv"),"")</f>
        <v>33</v>
      </c>
      <c r="I3" s="84">
        <f>IFERROR(SUMIFS('h-index-alt'!$H$3:$H$463,'h-index-alt'!$A$3:$A$463,A3,'h-index-alt'!$E$3:$E$463,"&lt;&gt;nv")/COUNTIFS('h-index-alt'!$H$3:$H$463,"&lt;&gt;nv",'h-index-alt'!$H$3:$H$463,"&lt;&gt;",'h-index-alt'!$A$3:$A$463,'überblick-alt'!A3,'h-index-alt'!$E$3:$E$463,"&lt;&gt;nv"),"")</f>
        <v>31</v>
      </c>
      <c r="J3" s="64">
        <f>COUNTIFS('h-index-alt'!A:A,'überblick-alt'!A3,'h-index-alt'!E:E,"nv")</f>
        <v>1</v>
      </c>
      <c r="K3" s="58">
        <f>COUNTIFS('h-index-alt'!A:A,'überblick-alt'!A3,'h-index-alt'!G:G,"nv")</f>
        <v>2</v>
      </c>
      <c r="L3" s="65">
        <f>COUNTIFS('h-index-alt'!A:A,'überblick-alt'!A3,'h-index-alt'!G:G,"nv",'h-index-alt'!E:E,"nv")</f>
        <v>1</v>
      </c>
    </row>
    <row r="4" spans="1:12" x14ac:dyDescent="0.3">
      <c r="A4" s="81" t="s">
        <v>69</v>
      </c>
      <c r="C4" s="58">
        <f>COUNTIFS('h-index-alt'!A:A,'überblick-alt'!A4)</f>
        <v>9</v>
      </c>
      <c r="D4" s="67">
        <f>IFERROR(SUMIFS('h-index-alt'!$E$3:$E$463,'h-index-alt'!$A$3:$A$463,A4)/COUNTIFS('h-index-alt'!$E$3:$E$463,"&lt;&gt;nv",'h-index-alt'!$E$3:$E$463,"&lt;&gt;",'h-index-alt'!$A$3:$A$463,'überblick-alt'!A4),"")</f>
        <v>51.666666666666664</v>
      </c>
      <c r="E4" s="64">
        <f>SUMIFS('h-index-alt'!F$3:F$463,'h-index-alt'!$A$3:$A$463,'überblick-alt'!$A4)/COUNTIFS('h-index-alt'!$A$3:$A$463,'überblick-alt'!$A4)</f>
        <v>16.444444444444443</v>
      </c>
      <c r="F4" s="64">
        <f>SUMIFS('h-index-alt'!G$3:G$463,'h-index-alt'!$A$3:$A$463,'überblick-alt'!$A4)/COUNTIFS('h-index-alt'!$A$3:$A$463,'überblick-alt'!$A4)</f>
        <v>42.777777777777779</v>
      </c>
      <c r="G4" s="66">
        <f>IFERROR(SUMIFS('h-index-alt'!$H$3:$H$463,'h-index-alt'!$A$3:$A$463,A4)/COUNTIFS('h-index-alt'!$H$3:$H$463,"&lt;&gt;nv",'h-index-alt'!$H$3:$H$463,"&lt;&gt;",'h-index-alt'!$A$3:$A$463,'überblick-alt'!A4),"")</f>
        <v>36.714285714285715</v>
      </c>
      <c r="H4" s="83">
        <f>IFERROR(SUMIFS('h-index-alt'!$E$3:$E$463,'h-index-alt'!$A$3:$A$463,A4,'h-index-alt'!$H$3:$H$463,"&lt;&gt;nv")/COUNTIFS('h-index-alt'!$E$3:$E$463,"&lt;&gt;nv",'h-index-alt'!$E$3:$E$463,"&lt;&gt;",'h-index-alt'!$A$3:$A$463,'überblick-alt'!A4,'h-index-alt'!$H$3:$H$463,"&lt;&gt;nv"),"")</f>
        <v>51.666666666666664</v>
      </c>
      <c r="I4" s="84">
        <f>IFERROR(SUMIFS('h-index-alt'!$H$3:$H$463,'h-index-alt'!$A$3:$A$463,A4,'h-index-alt'!$E$3:$E$463,"&lt;&gt;nv")/COUNTIFS('h-index-alt'!$H$3:$H$463,"&lt;&gt;nv",'h-index-alt'!$H$3:$H$463,"&lt;&gt;",'h-index-alt'!$A$3:$A$463,'überblick-alt'!A4,'h-index-alt'!$E$3:$E$463,"&lt;&gt;nv"),"")</f>
        <v>46.333333333333336</v>
      </c>
      <c r="J4" s="64">
        <f>COUNTIFS('h-index-alt'!A:A,'überblick-alt'!A4,'h-index-alt'!E:E,"nv")</f>
        <v>6</v>
      </c>
      <c r="K4" s="58">
        <f>COUNTIFS('h-index-alt'!A:A,'überblick-alt'!A4,'h-index-alt'!G:G,"nv")</f>
        <v>2</v>
      </c>
      <c r="L4" s="65">
        <f>COUNTIFS('h-index-alt'!A:A,'überblick-alt'!A4,'h-index-alt'!G:G,"nv",'h-index-alt'!E:E,"nv")</f>
        <v>2</v>
      </c>
    </row>
    <row r="5" spans="1:12" x14ac:dyDescent="0.3">
      <c r="A5" s="80" t="s">
        <v>80</v>
      </c>
      <c r="C5" s="58">
        <f>COUNTIFS('h-index-alt'!A:A,'überblick-alt'!A5)</f>
        <v>18</v>
      </c>
      <c r="D5" s="67">
        <f>IFERROR(SUMIFS('h-index-alt'!$E$3:$E$463,'h-index-alt'!$A$3:$A$463,A5)/COUNTIFS('h-index-alt'!$E$3:$E$463,"&lt;&gt;nv",'h-index-alt'!$E$3:$E$463,"&lt;&gt;",'h-index-alt'!$A$3:$A$463,'überblick-alt'!A5),"")</f>
        <v>16.5</v>
      </c>
      <c r="E5" s="64">
        <f>SUMIFS('h-index-alt'!F$3:F$463,'h-index-alt'!$A$3:$A$463,'überblick-alt'!$A5)/COUNTIFS('h-index-alt'!$A$3:$A$463,'überblick-alt'!$A5)</f>
        <v>7.0555555555555554</v>
      </c>
      <c r="F5" s="64">
        <f>SUMIFS('h-index-alt'!G$3:G$463,'h-index-alt'!$A$3:$A$463,'überblick-alt'!$A5)/COUNTIFS('h-index-alt'!$A$3:$A$463,'überblick-alt'!$A5)</f>
        <v>4.5</v>
      </c>
      <c r="G5" s="66">
        <f>IFERROR(SUMIFS('h-index-alt'!$H$3:$H$463,'h-index-alt'!$A$3:$A$463,A5)/COUNTIFS('h-index-alt'!$H$3:$H$463,"&lt;&gt;nv",'h-index-alt'!$H$3:$H$463,"&lt;&gt;",'h-index-alt'!$A$3:$A$463,'überblick-alt'!A5),"")</f>
        <v>22</v>
      </c>
      <c r="H5" s="83">
        <f>IFERROR(SUMIFS('h-index-alt'!$E$3:$E$463,'h-index-alt'!$A$3:$A$463,A5,'h-index-alt'!$H$3:$H$463,"&lt;&gt;nv")/COUNTIFS('h-index-alt'!$E$3:$E$463,"&lt;&gt;nv",'h-index-alt'!$E$3:$E$463,"&lt;&gt;",'h-index-alt'!$A$3:$A$463,'überblick-alt'!A5,'h-index-alt'!$H$3:$H$463,"&lt;&gt;nv"),"")</f>
        <v>20.5</v>
      </c>
      <c r="I5" s="84">
        <f>IFERROR(SUMIFS('h-index-alt'!$H$3:$H$463,'h-index-alt'!$A$3:$A$463,A5,'h-index-alt'!$E$3:$E$463,"&lt;&gt;nv")/COUNTIFS('h-index-alt'!$H$3:$H$463,"&lt;&gt;nv",'h-index-alt'!$H$3:$H$463,"&lt;&gt;",'h-index-alt'!$A$3:$A$463,'überblick-alt'!A5,'h-index-alt'!$E$3:$E$463,"&lt;&gt;nv"),"")</f>
        <v>20.5</v>
      </c>
      <c r="J5" s="64">
        <f>COUNTIFS('h-index-alt'!A:A,'überblick-alt'!A5,'h-index-alt'!E:E,"nv")</f>
        <v>5</v>
      </c>
      <c r="K5" s="58">
        <f>COUNTIFS('h-index-alt'!A:A,'überblick-alt'!A5,'h-index-alt'!G:G,"nv")</f>
        <v>10</v>
      </c>
      <c r="L5" s="65">
        <f>COUNTIFS('h-index-alt'!A:A,'überblick-alt'!A5,'h-index-alt'!G:G,"nv",'h-index-alt'!E:E,"nv")</f>
        <v>4</v>
      </c>
    </row>
    <row r="6" spans="1:12" x14ac:dyDescent="0.3">
      <c r="A6" s="80" t="s">
        <v>107</v>
      </c>
      <c r="C6" s="58">
        <f>COUNTIFS('h-index-alt'!A:A,'überblick-alt'!A6)</f>
        <v>7</v>
      </c>
      <c r="D6" s="67">
        <f>IFERROR(SUMIFS('h-index-alt'!$E$3:$E$463,'h-index-alt'!$A$3:$A$463,A6)/COUNTIFS('h-index-alt'!$E$3:$E$463,"&lt;&gt;nv",'h-index-alt'!$E$3:$E$463,"&lt;&gt;",'h-index-alt'!$A$3:$A$463,'überblick-alt'!A6),"")</f>
        <v>15.833333333333334</v>
      </c>
      <c r="E6" s="64">
        <f>SUMIFS('h-index-alt'!F$3:F$463,'h-index-alt'!$A$3:$A$463,'überblick-alt'!$A6)/COUNTIFS('h-index-alt'!$A$3:$A$463,'überblick-alt'!$A6)</f>
        <v>13</v>
      </c>
      <c r="F6" s="64">
        <f>SUMIFS('h-index-alt'!G$3:G$463,'h-index-alt'!$A$3:$A$463,'überblick-alt'!$A6)/COUNTIFS('h-index-alt'!$A$3:$A$463,'überblick-alt'!$A6)</f>
        <v>7.7142857142857144</v>
      </c>
      <c r="G6" s="66">
        <f>IFERROR(SUMIFS('h-index-alt'!$H$3:$H$463,'h-index-alt'!$A$3:$A$463,A6)/COUNTIFS('h-index-alt'!$H$3:$H$463,"&lt;&gt;nv",'h-index-alt'!$H$3:$H$463,"&lt;&gt;",'h-index-alt'!$A$3:$A$463,'überblick-alt'!A6),"")</f>
        <v>18.5</v>
      </c>
      <c r="H6" s="83">
        <f>IFERROR(SUMIFS('h-index-alt'!$E$3:$E$463,'h-index-alt'!$A$3:$A$463,A6,'h-index-alt'!$H$3:$H$463,"&lt;&gt;nv")/COUNTIFS('h-index-alt'!$E$3:$E$463,"&lt;&gt;nv",'h-index-alt'!$E$3:$E$463,"&lt;&gt;",'h-index-alt'!$A$3:$A$463,'überblick-alt'!A6,'h-index-alt'!$H$3:$H$463,"&lt;&gt;nv"),"")</f>
        <v>22.5</v>
      </c>
      <c r="I6" s="84">
        <f>IFERROR(SUMIFS('h-index-alt'!$H$3:$H$463,'h-index-alt'!$A$3:$A$463,A6,'h-index-alt'!$E$3:$E$463,"&lt;&gt;nv")/COUNTIFS('h-index-alt'!$H$3:$H$463,"&lt;&gt;nv",'h-index-alt'!$H$3:$H$463,"&lt;&gt;",'h-index-alt'!$A$3:$A$463,'überblick-alt'!A6,'h-index-alt'!$E$3:$E$463,"&lt;&gt;nv"),"")</f>
        <v>18.5</v>
      </c>
      <c r="J6" s="64">
        <f>COUNTIFS('h-index-alt'!A:A,'überblick-alt'!A6,'h-index-alt'!E:E,"nv")</f>
        <v>1</v>
      </c>
      <c r="K6" s="58">
        <f>COUNTIFS('h-index-alt'!A:A,'überblick-alt'!A6,'h-index-alt'!G:G,"nv")</f>
        <v>5</v>
      </c>
      <c r="L6" s="65">
        <f>COUNTIFS('h-index-alt'!A:A,'überblick-alt'!A6,'h-index-alt'!G:G,"nv",'h-index-alt'!E:E,"nv")</f>
        <v>1</v>
      </c>
    </row>
    <row r="7" spans="1:12" x14ac:dyDescent="0.3">
      <c r="A7" s="80" t="s">
        <v>123</v>
      </c>
      <c r="C7" s="58">
        <f>COUNTIFS('h-index-alt'!A:A,'überblick-alt'!A7)</f>
        <v>3</v>
      </c>
      <c r="D7" s="67">
        <f>IFERROR(SUMIFS('h-index-alt'!$E$3:$E$463,'h-index-alt'!$A$3:$A$463,A7)/COUNTIFS('h-index-alt'!$E$3:$E$463,"&lt;&gt;nv",'h-index-alt'!$E$3:$E$463,"&lt;&gt;",'h-index-alt'!$A$3:$A$463,'überblick-alt'!A7),"")</f>
        <v>26</v>
      </c>
      <c r="E7" s="64">
        <f>SUMIFS('h-index-alt'!F$3:F$463,'h-index-alt'!$A$3:$A$463,'überblick-alt'!$A7)/COUNTIFS('h-index-alt'!$A$3:$A$463,'überblick-alt'!$A7)</f>
        <v>25</v>
      </c>
      <c r="F7" s="64">
        <f>SUMIFS('h-index-alt'!G$3:G$463,'h-index-alt'!$A$3:$A$463,'überblick-alt'!$A7)/COUNTIFS('h-index-alt'!$A$3:$A$463,'überblick-alt'!$A7)</f>
        <v>28</v>
      </c>
      <c r="G7" s="66">
        <f>IFERROR(SUMIFS('h-index-alt'!$H$3:$H$463,'h-index-alt'!$A$3:$A$463,A7)/COUNTIFS('h-index-alt'!$H$3:$H$463,"&lt;&gt;nv",'h-index-alt'!$H$3:$H$463,"&lt;&gt;",'h-index-alt'!$A$3:$A$463,'überblick-alt'!A7),"")</f>
        <v>31.5</v>
      </c>
      <c r="H7" s="83">
        <f>IFERROR(SUMIFS('h-index-alt'!$E$3:$E$463,'h-index-alt'!$A$3:$A$463,A7,'h-index-alt'!$H$3:$H$463,"&lt;&gt;nv")/COUNTIFS('h-index-alt'!$E$3:$E$463,"&lt;&gt;nv",'h-index-alt'!$E$3:$E$463,"&lt;&gt;",'h-index-alt'!$A$3:$A$463,'überblick-alt'!A7,'h-index-alt'!$H$3:$H$463,"&lt;&gt;nv"),"")</f>
        <v>31</v>
      </c>
      <c r="I7" s="84">
        <f>IFERROR(SUMIFS('h-index-alt'!$H$3:$H$463,'h-index-alt'!$A$3:$A$463,A7,'h-index-alt'!$E$3:$E$463,"&lt;&gt;nv")/COUNTIFS('h-index-alt'!$H$3:$H$463,"&lt;&gt;nv",'h-index-alt'!$H$3:$H$463,"&lt;&gt;",'h-index-alt'!$A$3:$A$463,'überblick-alt'!A7,'h-index-alt'!$E$3:$E$463,"&lt;&gt;nv"),"")</f>
        <v>31.5</v>
      </c>
      <c r="J7" s="64">
        <f>COUNTIFS('h-index-alt'!A:A,'überblick-alt'!A7,'h-index-alt'!E:E,"nv")</f>
        <v>0</v>
      </c>
      <c r="K7" s="58">
        <f>COUNTIFS('h-index-alt'!A:A,'überblick-alt'!A7,'h-index-alt'!G:G,"nv")</f>
        <v>1</v>
      </c>
      <c r="L7" s="65">
        <f>COUNTIFS('h-index-alt'!A:A,'überblick-alt'!A7,'h-index-alt'!G:G,"nv",'h-index-alt'!E:E,"nv")</f>
        <v>0</v>
      </c>
    </row>
    <row r="8" spans="1:12" x14ac:dyDescent="0.3">
      <c r="A8" s="80" t="s">
        <v>131</v>
      </c>
      <c r="C8" s="58">
        <f>COUNTIFS('h-index-alt'!A:A,'überblick-alt'!A8)</f>
        <v>3</v>
      </c>
      <c r="D8" s="67">
        <f>IFERROR(SUMIFS('h-index-alt'!$E$3:$E$463,'h-index-alt'!$A$3:$A$463,A8)/COUNTIFS('h-index-alt'!$E$3:$E$463,"&lt;&gt;nv",'h-index-alt'!$E$3:$E$463,"&lt;&gt;",'h-index-alt'!$A$3:$A$463,'überblick-alt'!A8),"")</f>
        <v>20</v>
      </c>
      <c r="E8" s="64">
        <f>SUMIFS('h-index-alt'!F$3:F$463,'h-index-alt'!$A$3:$A$463,'überblick-alt'!$A8)/COUNTIFS('h-index-alt'!$A$3:$A$463,'überblick-alt'!$A8)</f>
        <v>12.666666666666666</v>
      </c>
      <c r="F8" s="64">
        <f>SUMIFS('h-index-alt'!G$3:G$463,'h-index-alt'!$A$3:$A$463,'überblick-alt'!$A8)/COUNTIFS('h-index-alt'!$A$3:$A$463,'überblick-alt'!$A8)</f>
        <v>14</v>
      </c>
      <c r="G8" s="66">
        <f>IFERROR(SUMIFS('h-index-alt'!$H$3:$H$463,'h-index-alt'!$A$3:$A$463,A8)/COUNTIFS('h-index-alt'!$H$3:$H$463,"&lt;&gt;nv",'h-index-alt'!$H$3:$H$463,"&lt;&gt;",'h-index-alt'!$A$3:$A$463,'überblick-alt'!A8),"")</f>
        <v>25</v>
      </c>
      <c r="H8" s="83">
        <f>IFERROR(SUMIFS('h-index-alt'!$E$3:$E$463,'h-index-alt'!$A$3:$A$463,A8,'h-index-alt'!$H$3:$H$463,"&lt;&gt;nv")/COUNTIFS('h-index-alt'!$E$3:$E$463,"&lt;&gt;nv",'h-index-alt'!$E$3:$E$463,"&lt;&gt;",'h-index-alt'!$A$3:$A$463,'überblick-alt'!A8,'h-index-alt'!$H$3:$H$463,"&lt;&gt;nv"),"")</f>
        <v>36</v>
      </c>
      <c r="I8" s="84">
        <f>IFERROR(SUMIFS('h-index-alt'!$H$3:$H$463,'h-index-alt'!$A$3:$A$463,A8,'h-index-alt'!$E$3:$E$463,"&lt;&gt;nv")/COUNTIFS('h-index-alt'!$H$3:$H$463,"&lt;&gt;nv",'h-index-alt'!$H$3:$H$463,"&lt;&gt;",'h-index-alt'!$A$3:$A$463,'überblick-alt'!A8,'h-index-alt'!$E$3:$E$463,"&lt;&gt;nv"),"")</f>
        <v>25</v>
      </c>
      <c r="J8" s="64">
        <f>COUNTIFS('h-index-alt'!A:A,'überblick-alt'!A8,'h-index-alt'!E:E,"nv")</f>
        <v>1</v>
      </c>
      <c r="K8" s="58">
        <f>COUNTIFS('h-index-alt'!A:A,'überblick-alt'!A8,'h-index-alt'!G:G,"nv")</f>
        <v>2</v>
      </c>
      <c r="L8" s="65">
        <f>COUNTIFS('h-index-alt'!A:A,'überblick-alt'!A8,'h-index-alt'!G:G,"nv",'h-index-alt'!E:E,"nv")</f>
        <v>1</v>
      </c>
    </row>
    <row r="9" spans="1:12" x14ac:dyDescent="0.3">
      <c r="A9" s="80" t="s">
        <v>138</v>
      </c>
      <c r="C9" s="58">
        <f>COUNTIFS('h-index-alt'!A:A,'überblick-alt'!A9)</f>
        <v>19</v>
      </c>
      <c r="D9" s="67">
        <f>IFERROR(SUMIFS('h-index-alt'!$E$3:$E$463,'h-index-alt'!$A$3:$A$463,A9)/COUNTIFS('h-index-alt'!$E$3:$E$463,"&lt;&gt;nv",'h-index-alt'!$E$3:$E$463,"&lt;&gt;",'h-index-alt'!$A$3:$A$463,'überblick-alt'!A9),"")</f>
        <v>29.111111111111111</v>
      </c>
      <c r="E9" s="64">
        <f>SUMIFS('h-index-alt'!F$3:F$463,'h-index-alt'!$A$3:$A$463,'überblick-alt'!$A9)/COUNTIFS('h-index-alt'!$A$3:$A$463,'überblick-alt'!$A9)</f>
        <v>25.94736842105263</v>
      </c>
      <c r="F9" s="64">
        <f>SUMIFS('h-index-alt'!G$3:G$463,'h-index-alt'!$A$3:$A$463,'überblick-alt'!$A9)/COUNTIFS('h-index-alt'!$A$3:$A$463,'überblick-alt'!$A9)</f>
        <v>22.157894736842106</v>
      </c>
      <c r="G9" s="66">
        <f>IFERROR(SUMIFS('h-index-alt'!$H$3:$H$463,'h-index-alt'!$A$3:$A$463,A9)/COUNTIFS('h-index-alt'!$H$3:$H$463,"&lt;&gt;nv",'h-index-alt'!$H$3:$H$463,"&lt;&gt;",'h-index-alt'!$A$3:$A$463,'überblick-alt'!A9),"")</f>
        <v>33</v>
      </c>
      <c r="H9" s="83">
        <f>IFERROR(SUMIFS('h-index-alt'!$E$3:$E$463,'h-index-alt'!$A$3:$A$463,A9,'h-index-alt'!$H$3:$H$463,"&lt;&gt;nv")/COUNTIFS('h-index-alt'!$E$3:$E$463,"&lt;&gt;nv",'h-index-alt'!$E$3:$E$463,"&lt;&gt;",'h-index-alt'!$A$3:$A$463,'überblick-alt'!A9,'h-index-alt'!$H$3:$H$463,"&lt;&gt;nv"),"")</f>
        <v>36.6</v>
      </c>
      <c r="I9" s="84">
        <f>IFERROR(SUMIFS('h-index-alt'!$H$3:$H$463,'h-index-alt'!$A$3:$A$463,A9,'h-index-alt'!$E$3:$E$463,"&lt;&gt;nv")/COUNTIFS('h-index-alt'!$H$3:$H$463,"&lt;&gt;nv",'h-index-alt'!$H$3:$H$463,"&lt;&gt;",'h-index-alt'!$A$3:$A$463,'überblick-alt'!A9,'h-index-alt'!$E$3:$E$463,"&lt;&gt;nv"),"")</f>
        <v>33</v>
      </c>
      <c r="J9" s="64">
        <f>COUNTIFS('h-index-alt'!A:A,'überblick-alt'!A9,'h-index-alt'!E:E,"nv")</f>
        <v>1</v>
      </c>
      <c r="K9" s="58">
        <f>COUNTIFS('h-index-alt'!A:A,'überblick-alt'!A9,'h-index-alt'!G:G,"nv")</f>
        <v>9</v>
      </c>
      <c r="L9" s="65">
        <f>COUNTIFS('h-index-alt'!A:A,'überblick-alt'!A9,'h-index-alt'!G:G,"nv",'h-index-alt'!E:E,"nv")</f>
        <v>1</v>
      </c>
    </row>
    <row r="10" spans="1:12" x14ac:dyDescent="0.3">
      <c r="A10" s="81" t="s">
        <v>161</v>
      </c>
      <c r="C10" s="58">
        <f>COUNTIFS('h-index-alt'!A:A,'überblick-alt'!A10)</f>
        <v>1</v>
      </c>
      <c r="D10" s="67" t="str">
        <f>IFERROR(SUMIFS('h-index-alt'!$E$3:$E$463,'h-index-alt'!$A$3:$A$463,A10)/COUNTIFS('h-index-alt'!$E$3:$E$463,"&lt;&gt;nv",'h-index-alt'!$E$3:$E$463,"&lt;&gt;",'h-index-alt'!$A$3:$A$463,'überblick-alt'!A10),"")</f>
        <v/>
      </c>
      <c r="E10" s="64">
        <f>SUMIFS('h-index-alt'!F$3:F$463,'h-index-alt'!$A$3:$A$463,'überblick-alt'!$A10)/COUNTIFS('h-index-alt'!$A$3:$A$463,'überblick-alt'!$A10)</f>
        <v>0</v>
      </c>
      <c r="F10" s="64">
        <f>SUMIFS('h-index-alt'!G$3:G$463,'h-index-alt'!$A$3:$A$463,'überblick-alt'!$A10)/COUNTIFS('h-index-alt'!$A$3:$A$463,'überblick-alt'!$A10)</f>
        <v>0</v>
      </c>
      <c r="G10" s="66" t="str">
        <f>IFERROR(SUMIFS('h-index-alt'!$H$3:$H$463,'h-index-alt'!$A$3:$A$463,A10)/COUNTIFS('h-index-alt'!$H$3:$H$463,"&lt;&gt;nv",'h-index-alt'!$H$3:$H$463,"&lt;&gt;",'h-index-alt'!$A$3:$A$463,'überblick-alt'!A10),"")</f>
        <v/>
      </c>
      <c r="H10" s="83" t="str">
        <f>IFERROR(SUMIFS('h-index-alt'!$E$3:$E$463,'h-index-alt'!$A$3:$A$463,A10,'h-index-alt'!$H$3:$H$463,"&lt;&gt;nv")/COUNTIFS('h-index-alt'!$E$3:$E$463,"&lt;&gt;nv",'h-index-alt'!$E$3:$E$463,"&lt;&gt;",'h-index-alt'!$A$3:$A$463,'überblick-alt'!A10,'h-index-alt'!$H$3:$H$463,"&lt;&gt;nv"),"")</f>
        <v/>
      </c>
      <c r="I10" s="84" t="str">
        <f>IFERROR(SUMIFS('h-index-alt'!$H$3:$H$463,'h-index-alt'!$A$3:$A$463,A10,'h-index-alt'!$E$3:$E$463,"&lt;&gt;nv")/COUNTIFS('h-index-alt'!$H$3:$H$463,"&lt;&gt;nv",'h-index-alt'!$H$3:$H$463,"&lt;&gt;",'h-index-alt'!$A$3:$A$463,'überblick-alt'!A10,'h-index-alt'!$E$3:$E$463,"&lt;&gt;nv"),"")</f>
        <v/>
      </c>
      <c r="J10" s="64">
        <f>COUNTIFS('h-index-alt'!A:A,'überblick-alt'!A10,'h-index-alt'!E:E,"nv")</f>
        <v>0</v>
      </c>
      <c r="K10" s="58">
        <f>COUNTIFS('h-index-alt'!A:A,'überblick-alt'!A10,'h-index-alt'!G:G,"nv")</f>
        <v>0</v>
      </c>
      <c r="L10" s="65">
        <f>COUNTIFS('h-index-alt'!A:A,'überblick-alt'!A10,'h-index-alt'!G:G,"nv",'h-index-alt'!E:E,"nv")</f>
        <v>0</v>
      </c>
    </row>
    <row r="11" spans="1:12" x14ac:dyDescent="0.3">
      <c r="A11" s="81" t="s">
        <v>162</v>
      </c>
      <c r="C11" s="58">
        <f>COUNTIFS('h-index-alt'!A:A,'überblick-alt'!A11)</f>
        <v>2</v>
      </c>
      <c r="D11" s="67" t="str">
        <f>IFERROR(SUMIFS('h-index-alt'!$E$3:$E$463,'h-index-alt'!$A$3:$A$463,A11)/COUNTIFS('h-index-alt'!$E$3:$E$463,"&lt;&gt;nv",'h-index-alt'!$E$3:$E$463,"&lt;&gt;",'h-index-alt'!$A$3:$A$463,'überblick-alt'!A11),"")</f>
        <v/>
      </c>
      <c r="E11" s="64">
        <f>SUMIFS('h-index-alt'!F$3:F$463,'h-index-alt'!$A$3:$A$463,'überblick-alt'!$A11)/COUNTIFS('h-index-alt'!$A$3:$A$463,'überblick-alt'!$A11)</f>
        <v>0</v>
      </c>
      <c r="F11" s="64">
        <f>SUMIFS('h-index-alt'!G$3:G$463,'h-index-alt'!$A$3:$A$463,'überblick-alt'!$A11)/COUNTIFS('h-index-alt'!$A$3:$A$463,'überblick-alt'!$A11)</f>
        <v>0</v>
      </c>
      <c r="G11" s="66" t="str">
        <f>IFERROR(SUMIFS('h-index-alt'!$H$3:$H$463,'h-index-alt'!$A$3:$A$463,A11)/COUNTIFS('h-index-alt'!$H$3:$H$463,"&lt;&gt;nv",'h-index-alt'!$H$3:$H$463,"&lt;&gt;",'h-index-alt'!$A$3:$A$463,'überblick-alt'!A11),"")</f>
        <v/>
      </c>
      <c r="H11" s="83" t="str">
        <f>IFERROR(SUMIFS('h-index-alt'!$E$3:$E$463,'h-index-alt'!$A$3:$A$463,A11,'h-index-alt'!$H$3:$H$463,"&lt;&gt;nv")/COUNTIFS('h-index-alt'!$E$3:$E$463,"&lt;&gt;nv",'h-index-alt'!$E$3:$E$463,"&lt;&gt;",'h-index-alt'!$A$3:$A$463,'überblick-alt'!A11,'h-index-alt'!$H$3:$H$463,"&lt;&gt;nv"),"")</f>
        <v/>
      </c>
      <c r="I11" s="84" t="str">
        <f>IFERROR(SUMIFS('h-index-alt'!$H$3:$H$463,'h-index-alt'!$A$3:$A$463,A11,'h-index-alt'!$E$3:$E$463,"&lt;&gt;nv")/COUNTIFS('h-index-alt'!$H$3:$H$463,"&lt;&gt;nv",'h-index-alt'!$H$3:$H$463,"&lt;&gt;",'h-index-alt'!$A$3:$A$463,'überblick-alt'!A11,'h-index-alt'!$E$3:$E$463,"&lt;&gt;nv"),"")</f>
        <v/>
      </c>
      <c r="J11" s="64">
        <f>COUNTIFS('h-index-alt'!A:A,'überblick-alt'!A11,'h-index-alt'!E:E,"nv")</f>
        <v>0</v>
      </c>
      <c r="K11" s="58">
        <f>COUNTIFS('h-index-alt'!A:A,'überblick-alt'!A11,'h-index-alt'!G:G,"nv")</f>
        <v>0</v>
      </c>
      <c r="L11" s="65">
        <f>COUNTIFS('h-index-alt'!A:A,'überblick-alt'!A11,'h-index-alt'!G:G,"nv",'h-index-alt'!E:E,"nv")</f>
        <v>0</v>
      </c>
    </row>
    <row r="12" spans="1:12" x14ac:dyDescent="0.3">
      <c r="A12" s="80" t="s">
        <v>164</v>
      </c>
      <c r="C12" s="58">
        <f>COUNTIFS('h-index-alt'!A:A,'überblick-alt'!A12)</f>
        <v>5</v>
      </c>
      <c r="D12" s="67">
        <f>IFERROR(SUMIFS('h-index-alt'!$E$3:$E$463,'h-index-alt'!$A$3:$A$463,A12)/COUNTIFS('h-index-alt'!$E$3:$E$463,"&lt;&gt;nv",'h-index-alt'!$E$3:$E$463,"&lt;&gt;",'h-index-alt'!$A$3:$A$463,'überblick-alt'!A12),"")</f>
        <v>12.333333333333334</v>
      </c>
      <c r="E12" s="64">
        <f>SUMIFS('h-index-alt'!F$3:F$463,'h-index-alt'!$A$3:$A$463,'überblick-alt'!$A12)/COUNTIFS('h-index-alt'!$A$3:$A$463,'überblick-alt'!$A12)</f>
        <v>6.4</v>
      </c>
      <c r="F12" s="64">
        <f>SUMIFS('h-index-alt'!G$3:G$463,'h-index-alt'!$A$3:$A$463,'überblick-alt'!$A12)/COUNTIFS('h-index-alt'!$A$3:$A$463,'überblick-alt'!$A12)</f>
        <v>7.6</v>
      </c>
      <c r="G12" s="66">
        <f>IFERROR(SUMIFS('h-index-alt'!$H$3:$H$463,'h-index-alt'!$A$3:$A$463,A12)/COUNTIFS('h-index-alt'!$H$3:$H$463,"&lt;&gt;nv",'h-index-alt'!$H$3:$H$463,"&lt;&gt;",'h-index-alt'!$A$3:$A$463,'überblick-alt'!A12),"")</f>
        <v>16.5</v>
      </c>
      <c r="H12" s="83">
        <f>IFERROR(SUMIFS('h-index-alt'!$E$3:$E$463,'h-index-alt'!$A$3:$A$463,A12,'h-index-alt'!$H$3:$H$463,"&lt;&gt;nv")/COUNTIFS('h-index-alt'!$E$3:$E$463,"&lt;&gt;nv",'h-index-alt'!$E$3:$E$463,"&lt;&gt;",'h-index-alt'!$A$3:$A$463,'überblick-alt'!A12,'h-index-alt'!$H$3:$H$463,"&lt;&gt;nv"),"")</f>
        <v>16.5</v>
      </c>
      <c r="I12" s="84">
        <f>IFERROR(SUMIFS('h-index-alt'!$H$3:$H$463,'h-index-alt'!$A$3:$A$463,A12,'h-index-alt'!$E$3:$E$463,"&lt;&gt;nv")/COUNTIFS('h-index-alt'!$H$3:$H$463,"&lt;&gt;nv",'h-index-alt'!$H$3:$H$463,"&lt;&gt;",'h-index-alt'!$A$3:$A$463,'überblick-alt'!A12,'h-index-alt'!$E$3:$E$463,"&lt;&gt;nv"),"")</f>
        <v>16.5</v>
      </c>
      <c r="J12" s="64">
        <f>COUNTIFS('h-index-alt'!A:A,'überblick-alt'!A12,'h-index-alt'!E:E,"nv")</f>
        <v>2</v>
      </c>
      <c r="K12" s="58">
        <f>COUNTIFS('h-index-alt'!A:A,'überblick-alt'!A12,'h-index-alt'!G:G,"nv")</f>
        <v>3</v>
      </c>
      <c r="L12" s="65">
        <f>COUNTIFS('h-index-alt'!A:A,'überblick-alt'!A12,'h-index-alt'!G:G,"nv",'h-index-alt'!E:E,"nv")</f>
        <v>2</v>
      </c>
    </row>
    <row r="13" spans="1:12" x14ac:dyDescent="0.3">
      <c r="A13" s="80" t="s">
        <v>173</v>
      </c>
      <c r="C13" s="58">
        <f>COUNTIFS('h-index-alt'!A:A,'überblick-alt'!A13)</f>
        <v>11</v>
      </c>
      <c r="D13" s="67">
        <f>IFERROR(SUMIFS('h-index-alt'!$E$3:$E$463,'h-index-alt'!$A$3:$A$463,A13)/COUNTIFS('h-index-alt'!$E$3:$E$463,"&lt;&gt;nv",'h-index-alt'!$E$3:$E$463,"&lt;&gt;",'h-index-alt'!$A$3:$A$463,'überblick-alt'!A13),"")</f>
        <v>20.333333333333332</v>
      </c>
      <c r="E13" s="64">
        <f>SUMIFS('h-index-alt'!F$3:F$463,'h-index-alt'!$A$3:$A$463,'überblick-alt'!$A13)/COUNTIFS('h-index-alt'!$A$3:$A$463,'überblick-alt'!$A13)</f>
        <v>10.363636363636363</v>
      </c>
      <c r="F13" s="64">
        <f>SUMIFS('h-index-alt'!G$3:G$463,'h-index-alt'!$A$3:$A$463,'überblick-alt'!$A13)/COUNTIFS('h-index-alt'!$A$3:$A$463,'überblick-alt'!$A13)</f>
        <v>12.636363636363637</v>
      </c>
      <c r="G13" s="66">
        <f>IFERROR(SUMIFS('h-index-alt'!$H$3:$H$463,'h-index-alt'!$A$3:$A$463,A13)/COUNTIFS('h-index-alt'!$H$3:$H$463,"&lt;&gt;nv",'h-index-alt'!$H$3:$H$463,"&lt;&gt;",'h-index-alt'!$A$3:$A$463,'überblick-alt'!A13),"")</f>
        <v>17</v>
      </c>
      <c r="H13" s="83">
        <f>IFERROR(SUMIFS('h-index-alt'!$E$3:$E$463,'h-index-alt'!$A$3:$A$463,A13,'h-index-alt'!$H$3:$H$463,"&lt;&gt;nv")/COUNTIFS('h-index-alt'!$E$3:$E$463,"&lt;&gt;nv",'h-index-alt'!$E$3:$E$463,"&lt;&gt;",'h-index-alt'!$A$3:$A$463,'überblick-alt'!A13,'h-index-alt'!$H$3:$H$463,"&lt;&gt;nv"),"")</f>
        <v>21.5</v>
      </c>
      <c r="I13" s="84">
        <f>IFERROR(SUMIFS('h-index-alt'!$H$3:$H$463,'h-index-alt'!$A$3:$A$463,A13,'h-index-alt'!$E$3:$E$463,"&lt;&gt;nv")/COUNTIFS('h-index-alt'!$H$3:$H$463,"&lt;&gt;nv",'h-index-alt'!$H$3:$H$463,"&lt;&gt;",'h-index-alt'!$A$3:$A$463,'überblick-alt'!A13,'h-index-alt'!$E$3:$E$463,"&lt;&gt;nv"),"")</f>
        <v>16.25</v>
      </c>
      <c r="J13" s="64">
        <f>COUNTIFS('h-index-alt'!A:A,'überblick-alt'!A13,'h-index-alt'!E:E,"nv")</f>
        <v>5</v>
      </c>
      <c r="K13" s="58">
        <f>COUNTIFS('h-index-alt'!A:A,'überblick-alt'!A13,'h-index-alt'!G:G,"nv")</f>
        <v>5</v>
      </c>
      <c r="L13" s="65">
        <f>COUNTIFS('h-index-alt'!A:A,'überblick-alt'!A13,'h-index-alt'!G:G,"nv",'h-index-alt'!E:E,"nv")</f>
        <v>3</v>
      </c>
    </row>
    <row r="14" spans="1:12" x14ac:dyDescent="0.3">
      <c r="A14" s="80" t="s">
        <v>193</v>
      </c>
      <c r="C14" s="58">
        <f>COUNTIFS('h-index-alt'!A:A,'überblick-alt'!A14)</f>
        <v>5</v>
      </c>
      <c r="D14" s="67">
        <f>IFERROR(SUMIFS('h-index-alt'!$E$3:$E$463,'h-index-alt'!$A$3:$A$463,A14)/COUNTIFS('h-index-alt'!$E$3:$E$463,"&lt;&gt;nv",'h-index-alt'!$E$3:$E$463,"&lt;&gt;",'h-index-alt'!$A$3:$A$463,'überblick-alt'!A14),"")</f>
        <v>20.5</v>
      </c>
      <c r="E14" s="64">
        <f>SUMIFS('h-index-alt'!F$3:F$463,'h-index-alt'!$A$3:$A$463,'überblick-alt'!$A14)/COUNTIFS('h-index-alt'!$A$3:$A$463,'überblick-alt'!$A14)</f>
        <v>8</v>
      </c>
      <c r="F14" s="64">
        <f>SUMIFS('h-index-alt'!G$3:G$463,'h-index-alt'!$A$3:$A$463,'überblick-alt'!$A14)/COUNTIFS('h-index-alt'!$A$3:$A$463,'überblick-alt'!$A14)</f>
        <v>15.2</v>
      </c>
      <c r="G14" s="66">
        <f>IFERROR(SUMIFS('h-index-alt'!$H$3:$H$463,'h-index-alt'!$A$3:$A$463,A14)/COUNTIFS('h-index-alt'!$H$3:$H$463,"&lt;&gt;nv",'h-index-alt'!$H$3:$H$463,"&lt;&gt;",'h-index-alt'!$A$3:$A$463,'überblick-alt'!A14),"")</f>
        <v>18</v>
      </c>
      <c r="H14" s="83">
        <f>IFERROR(SUMIFS('h-index-alt'!$E$3:$E$463,'h-index-alt'!$A$3:$A$463,A14,'h-index-alt'!$H$3:$H$463,"&lt;&gt;nv")/COUNTIFS('h-index-alt'!$E$3:$E$463,"&lt;&gt;nv",'h-index-alt'!$E$3:$E$463,"&lt;&gt;",'h-index-alt'!$A$3:$A$463,'überblick-alt'!A14,'h-index-alt'!$H$3:$H$463,"&lt;&gt;nv"),"")</f>
        <v>28</v>
      </c>
      <c r="I14" s="84">
        <f>IFERROR(SUMIFS('h-index-alt'!$H$3:$H$463,'h-index-alt'!$A$3:$A$463,A14,'h-index-alt'!$E$3:$E$463,"&lt;&gt;nv")/COUNTIFS('h-index-alt'!$H$3:$H$463,"&lt;&gt;nv",'h-index-alt'!$H$3:$H$463,"&lt;&gt;",'h-index-alt'!$A$3:$A$463,'überblick-alt'!A14,'h-index-alt'!$E$3:$E$463,"&lt;&gt;nv"),"")</f>
        <v>23</v>
      </c>
      <c r="J14" s="64">
        <f>COUNTIFS('h-index-alt'!A:A,'überblick-alt'!A14,'h-index-alt'!E:E,"nv")</f>
        <v>3</v>
      </c>
      <c r="K14" s="58">
        <f>COUNTIFS('h-index-alt'!A:A,'überblick-alt'!A14,'h-index-alt'!G:G,"nv")</f>
        <v>2</v>
      </c>
      <c r="L14" s="65">
        <f>COUNTIFS('h-index-alt'!A:A,'überblick-alt'!A14,'h-index-alt'!G:G,"nv",'h-index-alt'!E:E,"nv")</f>
        <v>1</v>
      </c>
    </row>
    <row r="15" spans="1:12" x14ac:dyDescent="0.3">
      <c r="A15" s="80" t="s">
        <v>200</v>
      </c>
      <c r="C15" s="58">
        <f>COUNTIFS('h-index-alt'!A:A,'überblick-alt'!A15)</f>
        <v>52</v>
      </c>
      <c r="D15" s="67">
        <f>IFERROR(SUMIFS('h-index-alt'!$E$3:$E$463,'h-index-alt'!$A$3:$A$463,A15)/COUNTIFS('h-index-alt'!$E$3:$E$463,"&lt;&gt;nv",'h-index-alt'!$E$3:$E$463,"&lt;&gt;",'h-index-alt'!$A$3:$A$463,'überblick-alt'!A15),"")</f>
        <v>18.793103448275861</v>
      </c>
      <c r="E15" s="64">
        <f>SUMIFS('h-index-alt'!F$3:F$463,'h-index-alt'!$A$3:$A$463,'überblick-alt'!$A15)/COUNTIFS('h-index-alt'!$A$3:$A$463,'überblick-alt'!$A15)</f>
        <v>9.9423076923076916</v>
      </c>
      <c r="F15" s="64">
        <f>SUMIFS('h-index-alt'!G$3:G$463,'h-index-alt'!$A$3:$A$463,'überblick-alt'!$A15)/COUNTIFS('h-index-alt'!$A$3:$A$463,'überblick-alt'!$A15)</f>
        <v>23.28846153846154</v>
      </c>
      <c r="G15" s="66">
        <f>IFERROR(SUMIFS('h-index-alt'!$H$3:$H$463,'h-index-alt'!$A$3:$A$463,A15)/COUNTIFS('h-index-alt'!$H$3:$H$463,"&lt;&gt;nv",'h-index-alt'!$H$3:$H$463,"&lt;&gt;",'h-index-alt'!$A$3:$A$463,'überblick-alt'!A15),"")</f>
        <v>25.454545454545453</v>
      </c>
      <c r="H15" s="83">
        <f>IFERROR(SUMIFS('h-index-alt'!$E$3:$E$463,'h-index-alt'!$A$3:$A$463,A15,'h-index-alt'!$H$3:$H$463,"&lt;&gt;nv")/COUNTIFS('h-index-alt'!$E$3:$E$463,"&lt;&gt;nv",'h-index-alt'!$E$3:$E$463,"&lt;&gt;",'h-index-alt'!$A$3:$A$463,'überblick-alt'!A15,'h-index-alt'!$H$3:$H$463,"&lt;&gt;nv"),"")</f>
        <v>21.333333333333332</v>
      </c>
      <c r="I15" s="84">
        <f>IFERROR(SUMIFS('h-index-alt'!$H$3:$H$463,'h-index-alt'!$A$3:$A$463,A15,'h-index-alt'!$E$3:$E$463,"&lt;&gt;nv")/COUNTIFS('h-index-alt'!$H$3:$H$463,"&lt;&gt;nv",'h-index-alt'!$H$3:$H$463,"&lt;&gt;",'h-index-alt'!$A$3:$A$463,'überblick-alt'!A15,'h-index-alt'!$E$3:$E$463,"&lt;&gt;nv"),"")</f>
        <v>19.857142857142858</v>
      </c>
      <c r="J15" s="64">
        <f>COUNTIFS('h-index-alt'!A:A,'überblick-alt'!A15,'h-index-alt'!E:E,"nv")</f>
        <v>19</v>
      </c>
      <c r="K15" s="58">
        <f>COUNTIFS('h-index-alt'!A:A,'überblick-alt'!A15,'h-index-alt'!G:G,"nv")</f>
        <v>15</v>
      </c>
      <c r="L15" s="65">
        <f>COUNTIFS('h-index-alt'!A:A,'überblick-alt'!A15,'h-index-alt'!G:G,"nv",'h-index-alt'!E:E,"nv")</f>
        <v>7</v>
      </c>
    </row>
    <row r="16" spans="1:12" x14ac:dyDescent="0.3">
      <c r="A16" s="81" t="s">
        <v>257</v>
      </c>
      <c r="C16" s="58">
        <f>COUNTIFS('h-index-alt'!A:A,'überblick-alt'!A16)</f>
        <v>15</v>
      </c>
      <c r="D16" s="67" t="str">
        <f>IFERROR(SUMIFS('h-index-alt'!$E$3:$E$463,'h-index-alt'!$A$3:$A$463,A16)/COUNTIFS('h-index-alt'!$E$3:$E$463,"&lt;&gt;nv",'h-index-alt'!$E$3:$E$463,"&lt;&gt;",'h-index-alt'!$A$3:$A$463,'überblick-alt'!A16),"")</f>
        <v/>
      </c>
      <c r="E16" s="64">
        <f>SUMIFS('h-index-alt'!F$3:F$463,'h-index-alt'!$A$3:$A$463,'überblick-alt'!$A16)/COUNTIFS('h-index-alt'!$A$3:$A$463,'überblick-alt'!$A16)</f>
        <v>0</v>
      </c>
      <c r="F16" s="64">
        <f>SUMIFS('h-index-alt'!G$3:G$463,'h-index-alt'!$A$3:$A$463,'überblick-alt'!$A16)/COUNTIFS('h-index-alt'!$A$3:$A$463,'überblick-alt'!$A16)</f>
        <v>0</v>
      </c>
      <c r="G16" s="66" t="str">
        <f>IFERROR(SUMIFS('h-index-alt'!$H$3:$H$463,'h-index-alt'!$A$3:$A$463,A16)/COUNTIFS('h-index-alt'!$H$3:$H$463,"&lt;&gt;nv",'h-index-alt'!$H$3:$H$463,"&lt;&gt;",'h-index-alt'!$A$3:$A$463,'überblick-alt'!A16),"")</f>
        <v/>
      </c>
      <c r="H16" s="83" t="str">
        <f>IFERROR(SUMIFS('h-index-alt'!$E$3:$E$463,'h-index-alt'!$A$3:$A$463,A16,'h-index-alt'!$H$3:$H$463,"&lt;&gt;nv")/COUNTIFS('h-index-alt'!$E$3:$E$463,"&lt;&gt;nv",'h-index-alt'!$E$3:$E$463,"&lt;&gt;",'h-index-alt'!$A$3:$A$463,'überblick-alt'!A16,'h-index-alt'!$H$3:$H$463,"&lt;&gt;nv"),"")</f>
        <v/>
      </c>
      <c r="I16" s="84" t="str">
        <f>IFERROR(SUMIFS('h-index-alt'!$H$3:$H$463,'h-index-alt'!$A$3:$A$463,A16,'h-index-alt'!$E$3:$E$463,"&lt;&gt;nv")/COUNTIFS('h-index-alt'!$H$3:$H$463,"&lt;&gt;nv",'h-index-alt'!$H$3:$H$463,"&lt;&gt;",'h-index-alt'!$A$3:$A$463,'überblick-alt'!A16,'h-index-alt'!$E$3:$E$463,"&lt;&gt;nv"),"")</f>
        <v/>
      </c>
      <c r="J16" s="64">
        <f>COUNTIFS('h-index-alt'!A:A,'überblick-alt'!A16,'h-index-alt'!E:E,"nv")</f>
        <v>0</v>
      </c>
      <c r="K16" s="58">
        <f>COUNTIFS('h-index-alt'!A:A,'überblick-alt'!A16,'h-index-alt'!G:G,"nv")</f>
        <v>0</v>
      </c>
      <c r="L16" s="65">
        <f>COUNTIFS('h-index-alt'!A:A,'überblick-alt'!A16,'h-index-alt'!G:G,"nv",'h-index-alt'!E:E,"nv")</f>
        <v>0</v>
      </c>
    </row>
    <row r="17" spans="1:12" x14ac:dyDescent="0.3">
      <c r="A17" s="81" t="s">
        <v>263</v>
      </c>
      <c r="C17" s="58">
        <f>COUNTIFS('h-index-alt'!A:A,'überblick-alt'!A17)</f>
        <v>1</v>
      </c>
      <c r="D17" s="67" t="str">
        <f>IFERROR(SUMIFS('h-index-alt'!$E$3:$E$463,'h-index-alt'!$A$3:$A$463,A17)/COUNTIFS('h-index-alt'!$E$3:$E$463,"&lt;&gt;nv",'h-index-alt'!$E$3:$E$463,"&lt;&gt;",'h-index-alt'!$A$3:$A$463,'überblick-alt'!A17),"")</f>
        <v/>
      </c>
      <c r="E17" s="64">
        <f>SUMIFS('h-index-alt'!F$3:F$463,'h-index-alt'!$A$3:$A$463,'überblick-alt'!$A17)/COUNTIFS('h-index-alt'!$A$3:$A$463,'überblick-alt'!$A17)</f>
        <v>0</v>
      </c>
      <c r="F17" s="64">
        <f>SUMIFS('h-index-alt'!G$3:G$463,'h-index-alt'!$A$3:$A$463,'überblick-alt'!$A17)/COUNTIFS('h-index-alt'!$A$3:$A$463,'überblick-alt'!$A17)</f>
        <v>0</v>
      </c>
      <c r="G17" s="66" t="str">
        <f>IFERROR(SUMIFS('h-index-alt'!$H$3:$H$463,'h-index-alt'!$A$3:$A$463,A17)/COUNTIFS('h-index-alt'!$H$3:$H$463,"&lt;&gt;nv",'h-index-alt'!$H$3:$H$463,"&lt;&gt;",'h-index-alt'!$A$3:$A$463,'überblick-alt'!A17),"")</f>
        <v/>
      </c>
      <c r="H17" s="83" t="str">
        <f>IFERROR(SUMIFS('h-index-alt'!$E$3:$E$463,'h-index-alt'!$A$3:$A$463,A17,'h-index-alt'!$H$3:$H$463,"&lt;&gt;nv")/COUNTIFS('h-index-alt'!$E$3:$E$463,"&lt;&gt;nv",'h-index-alt'!$E$3:$E$463,"&lt;&gt;",'h-index-alt'!$A$3:$A$463,'überblick-alt'!A17,'h-index-alt'!$H$3:$H$463,"&lt;&gt;nv"),"")</f>
        <v/>
      </c>
      <c r="I17" s="84" t="str">
        <f>IFERROR(SUMIFS('h-index-alt'!$H$3:$H$463,'h-index-alt'!$A$3:$A$463,A17,'h-index-alt'!$E$3:$E$463,"&lt;&gt;nv")/COUNTIFS('h-index-alt'!$H$3:$H$463,"&lt;&gt;nv",'h-index-alt'!$H$3:$H$463,"&lt;&gt;",'h-index-alt'!$A$3:$A$463,'überblick-alt'!A17,'h-index-alt'!$E$3:$E$463,"&lt;&gt;nv"),"")</f>
        <v/>
      </c>
      <c r="J17" s="64">
        <f>COUNTIFS('h-index-alt'!A:A,'überblick-alt'!A17,'h-index-alt'!E:E,"nv")</f>
        <v>0</v>
      </c>
      <c r="K17" s="58">
        <f>COUNTIFS('h-index-alt'!A:A,'überblick-alt'!A17,'h-index-alt'!G:G,"nv")</f>
        <v>0</v>
      </c>
      <c r="L17" s="65">
        <f>COUNTIFS('h-index-alt'!A:A,'überblick-alt'!A17,'h-index-alt'!G:G,"nv",'h-index-alt'!E:E,"nv")</f>
        <v>0</v>
      </c>
    </row>
    <row r="18" spans="1:12" x14ac:dyDescent="0.3">
      <c r="A18" s="81" t="s">
        <v>264</v>
      </c>
      <c r="C18" s="58">
        <f>COUNTIFS('h-index-alt'!A:A,'überblick-alt'!A18)</f>
        <v>9</v>
      </c>
      <c r="D18" s="67" t="str">
        <f>IFERROR(SUMIFS('h-index-alt'!$E$3:$E$463,'h-index-alt'!$A$3:$A$463,A18)/COUNTIFS('h-index-alt'!$E$3:$E$463,"&lt;&gt;nv",'h-index-alt'!$E$3:$E$463,"&lt;&gt;",'h-index-alt'!$A$3:$A$463,'überblick-alt'!A18),"")</f>
        <v/>
      </c>
      <c r="E18" s="64">
        <f>SUMIFS('h-index-alt'!F$3:F$463,'h-index-alt'!$A$3:$A$463,'überblick-alt'!$A18)/COUNTIFS('h-index-alt'!$A$3:$A$463,'überblick-alt'!$A18)</f>
        <v>0</v>
      </c>
      <c r="F18" s="64">
        <f>SUMIFS('h-index-alt'!G$3:G$463,'h-index-alt'!$A$3:$A$463,'überblick-alt'!$A18)/COUNTIFS('h-index-alt'!$A$3:$A$463,'überblick-alt'!$A18)</f>
        <v>0</v>
      </c>
      <c r="G18" s="66" t="str">
        <f>IFERROR(SUMIFS('h-index-alt'!$H$3:$H$463,'h-index-alt'!$A$3:$A$463,A18)/COUNTIFS('h-index-alt'!$H$3:$H$463,"&lt;&gt;nv",'h-index-alt'!$H$3:$H$463,"&lt;&gt;",'h-index-alt'!$A$3:$A$463,'überblick-alt'!A18),"")</f>
        <v/>
      </c>
      <c r="H18" s="83" t="str">
        <f>IFERROR(SUMIFS('h-index-alt'!$E$3:$E$463,'h-index-alt'!$A$3:$A$463,A18,'h-index-alt'!$H$3:$H$463,"&lt;&gt;nv")/COUNTIFS('h-index-alt'!$E$3:$E$463,"&lt;&gt;nv",'h-index-alt'!$E$3:$E$463,"&lt;&gt;",'h-index-alt'!$A$3:$A$463,'überblick-alt'!A18,'h-index-alt'!$H$3:$H$463,"&lt;&gt;nv"),"")</f>
        <v/>
      </c>
      <c r="I18" s="84" t="str">
        <f>IFERROR(SUMIFS('h-index-alt'!$H$3:$H$463,'h-index-alt'!$A$3:$A$463,A18,'h-index-alt'!$E$3:$E$463,"&lt;&gt;nv")/COUNTIFS('h-index-alt'!$H$3:$H$463,"&lt;&gt;nv",'h-index-alt'!$H$3:$H$463,"&lt;&gt;",'h-index-alt'!$A$3:$A$463,'überblick-alt'!A18,'h-index-alt'!$E$3:$E$463,"&lt;&gt;nv"),"")</f>
        <v/>
      </c>
      <c r="J18" s="64">
        <f>COUNTIFS('h-index-alt'!A:A,'überblick-alt'!A18,'h-index-alt'!E:E,"nv")</f>
        <v>0</v>
      </c>
      <c r="K18" s="58">
        <f>COUNTIFS('h-index-alt'!A:A,'überblick-alt'!A18,'h-index-alt'!G:G,"nv")</f>
        <v>0</v>
      </c>
      <c r="L18" s="65">
        <f>COUNTIFS('h-index-alt'!A:A,'überblick-alt'!A18,'h-index-alt'!G:G,"nv",'h-index-alt'!E:E,"nv")</f>
        <v>0</v>
      </c>
    </row>
    <row r="19" spans="1:12" x14ac:dyDescent="0.3">
      <c r="A19" s="81" t="s">
        <v>275</v>
      </c>
      <c r="C19" s="58">
        <f>COUNTIFS('h-index-alt'!A:A,'überblick-alt'!A19)</f>
        <v>7</v>
      </c>
      <c r="D19" s="67" t="str">
        <f>IFERROR(SUMIFS('h-index-alt'!$E$3:$E$463,'h-index-alt'!$A$3:$A$463,A19)/COUNTIFS('h-index-alt'!$E$3:$E$463,"&lt;&gt;nv",'h-index-alt'!$E$3:$E$463,"&lt;&gt;",'h-index-alt'!$A$3:$A$463,'überblick-alt'!A19),"")</f>
        <v/>
      </c>
      <c r="E19" s="64">
        <f>SUMIFS('h-index-alt'!F$3:F$463,'h-index-alt'!$A$3:$A$463,'überblick-alt'!$A19)/COUNTIFS('h-index-alt'!$A$3:$A$463,'überblick-alt'!$A19)</f>
        <v>0</v>
      </c>
      <c r="F19" s="64">
        <f>SUMIFS('h-index-alt'!G$3:G$463,'h-index-alt'!$A$3:$A$463,'überblick-alt'!$A19)/COUNTIFS('h-index-alt'!$A$3:$A$463,'überblick-alt'!$A19)</f>
        <v>0</v>
      </c>
      <c r="G19" s="66" t="str">
        <f>IFERROR(SUMIFS('h-index-alt'!$H$3:$H$463,'h-index-alt'!$A$3:$A$463,A19)/COUNTIFS('h-index-alt'!$H$3:$H$463,"&lt;&gt;nv",'h-index-alt'!$H$3:$H$463,"&lt;&gt;",'h-index-alt'!$A$3:$A$463,'überblick-alt'!A19),"")</f>
        <v/>
      </c>
      <c r="H19" s="83" t="str">
        <f>IFERROR(SUMIFS('h-index-alt'!$E$3:$E$463,'h-index-alt'!$A$3:$A$463,A19,'h-index-alt'!$H$3:$H$463,"&lt;&gt;nv")/COUNTIFS('h-index-alt'!$E$3:$E$463,"&lt;&gt;nv",'h-index-alt'!$E$3:$E$463,"&lt;&gt;",'h-index-alt'!$A$3:$A$463,'überblick-alt'!A19,'h-index-alt'!$H$3:$H$463,"&lt;&gt;nv"),"")</f>
        <v/>
      </c>
      <c r="I19" s="84" t="str">
        <f>IFERROR(SUMIFS('h-index-alt'!$H$3:$H$463,'h-index-alt'!$A$3:$A$463,A19,'h-index-alt'!$E$3:$E$463,"&lt;&gt;nv")/COUNTIFS('h-index-alt'!$H$3:$H$463,"&lt;&gt;nv",'h-index-alt'!$H$3:$H$463,"&lt;&gt;",'h-index-alt'!$A$3:$A$463,'überblick-alt'!A19,'h-index-alt'!$E$3:$E$463,"&lt;&gt;nv"),"")</f>
        <v/>
      </c>
      <c r="J19" s="64">
        <f>COUNTIFS('h-index-alt'!A:A,'überblick-alt'!A19,'h-index-alt'!E:E,"nv")</f>
        <v>0</v>
      </c>
      <c r="K19" s="58">
        <f>COUNTIFS('h-index-alt'!A:A,'überblick-alt'!A19,'h-index-alt'!G:G,"nv")</f>
        <v>0</v>
      </c>
      <c r="L19" s="65">
        <f>COUNTIFS('h-index-alt'!A:A,'überblick-alt'!A19,'h-index-alt'!G:G,"nv",'h-index-alt'!E:E,"nv")</f>
        <v>0</v>
      </c>
    </row>
    <row r="20" spans="1:12" x14ac:dyDescent="0.3">
      <c r="A20" s="80" t="s">
        <v>276</v>
      </c>
      <c r="C20" s="58">
        <f>COUNTIFS('h-index-alt'!A:A,'überblick-alt'!A20)</f>
        <v>5</v>
      </c>
      <c r="D20" s="67">
        <f>IFERROR(SUMIFS('h-index-alt'!$E$3:$E$463,'h-index-alt'!$A$3:$A$463,A20)/COUNTIFS('h-index-alt'!$E$3:$E$463,"&lt;&gt;nv",'h-index-alt'!$E$3:$E$463,"&lt;&gt;",'h-index-alt'!$A$3:$A$463,'überblick-alt'!A20),"")</f>
        <v>73.333333333333329</v>
      </c>
      <c r="E20" s="64">
        <f>SUMIFS('h-index-alt'!F$3:F$463,'h-index-alt'!$A$3:$A$463,'überblick-alt'!$A20)/COUNTIFS('h-index-alt'!$A$3:$A$463,'überblick-alt'!$A20)</f>
        <v>42</v>
      </c>
      <c r="F20" s="64">
        <f>SUMIFS('h-index-alt'!G$3:G$463,'h-index-alt'!$A$3:$A$463,'überblick-alt'!$A20)/COUNTIFS('h-index-alt'!$A$3:$A$463,'überblick-alt'!$A20)</f>
        <v>67</v>
      </c>
      <c r="G20" s="66">
        <f>IFERROR(SUMIFS('h-index-alt'!$H$3:$H$463,'h-index-alt'!$A$3:$A$463,A20)/COUNTIFS('h-index-alt'!$H$3:$H$463,"&lt;&gt;nv",'h-index-alt'!$H$3:$H$463,"&lt;&gt;",'h-index-alt'!$A$3:$A$463,'überblick-alt'!A20),"")</f>
        <v>61</v>
      </c>
      <c r="H20" s="83">
        <f>IFERROR(SUMIFS('h-index-alt'!$E$3:$E$463,'h-index-alt'!$A$3:$A$463,A20,'h-index-alt'!$H$3:$H$463,"&lt;&gt;nv")/COUNTIFS('h-index-alt'!$E$3:$E$463,"&lt;&gt;nv",'h-index-alt'!$E$3:$E$463,"&lt;&gt;",'h-index-alt'!$A$3:$A$463,'überblick-alt'!A20,'h-index-alt'!$H$3:$H$463,"&lt;&gt;nv"),"")</f>
        <v>73.333333333333329</v>
      </c>
      <c r="I20" s="84">
        <f>IFERROR(SUMIFS('h-index-alt'!$H$3:$H$463,'h-index-alt'!$A$3:$A$463,A20,'h-index-alt'!$E$3:$E$463,"&lt;&gt;nv")/COUNTIFS('h-index-alt'!$H$3:$H$463,"&lt;&gt;nv",'h-index-alt'!$H$3:$H$463,"&lt;&gt;",'h-index-alt'!$A$3:$A$463,'überblick-alt'!A20,'h-index-alt'!$E$3:$E$463,"&lt;&gt;nv"),"")</f>
        <v>68</v>
      </c>
      <c r="J20" s="64">
        <f>COUNTIFS('h-index-alt'!A:A,'überblick-alt'!A20,'h-index-alt'!E:E,"nv")</f>
        <v>2</v>
      </c>
      <c r="K20" s="58">
        <f>COUNTIFS('h-index-alt'!A:A,'überblick-alt'!A20,'h-index-alt'!G:G,"nv")</f>
        <v>0</v>
      </c>
      <c r="L20" s="65">
        <f>COUNTIFS('h-index-alt'!A:A,'überblick-alt'!A20,'h-index-alt'!G:G,"nv",'h-index-alt'!E:E,"nv")</f>
        <v>0</v>
      </c>
    </row>
    <row r="21" spans="1:12" x14ac:dyDescent="0.3">
      <c r="A21" s="81" t="s">
        <v>282</v>
      </c>
      <c r="C21" s="58">
        <f>COUNTIFS('h-index-alt'!A:A,'überblick-alt'!A21)</f>
        <v>7</v>
      </c>
      <c r="D21" s="67" t="str">
        <f>IFERROR(SUMIFS('h-index-alt'!$E$3:$E$463,'h-index-alt'!$A$3:$A$463,A21)/COUNTIFS('h-index-alt'!$E$3:$E$463,"&lt;&gt;nv",'h-index-alt'!$E$3:$E$463,"&lt;&gt;",'h-index-alt'!$A$3:$A$463,'überblick-alt'!A21),"")</f>
        <v/>
      </c>
      <c r="E21" s="64">
        <f>SUMIFS('h-index-alt'!F$3:F$463,'h-index-alt'!$A$3:$A$463,'überblick-alt'!$A21)/COUNTIFS('h-index-alt'!$A$3:$A$463,'überblick-alt'!$A21)</f>
        <v>0</v>
      </c>
      <c r="F21" s="64">
        <f>SUMIFS('h-index-alt'!G$3:G$463,'h-index-alt'!$A$3:$A$463,'überblick-alt'!$A21)/COUNTIFS('h-index-alt'!$A$3:$A$463,'überblick-alt'!$A21)</f>
        <v>0</v>
      </c>
      <c r="G21" s="66" t="str">
        <f>IFERROR(SUMIFS('h-index-alt'!$H$3:$H$463,'h-index-alt'!$A$3:$A$463,A21)/COUNTIFS('h-index-alt'!$H$3:$H$463,"&lt;&gt;nv",'h-index-alt'!$H$3:$H$463,"&lt;&gt;",'h-index-alt'!$A$3:$A$463,'überblick-alt'!A21),"")</f>
        <v/>
      </c>
      <c r="H21" s="83" t="str">
        <f>IFERROR(SUMIFS('h-index-alt'!$E$3:$E$463,'h-index-alt'!$A$3:$A$463,A21,'h-index-alt'!$H$3:$H$463,"&lt;&gt;nv")/COUNTIFS('h-index-alt'!$E$3:$E$463,"&lt;&gt;nv",'h-index-alt'!$E$3:$E$463,"&lt;&gt;",'h-index-alt'!$A$3:$A$463,'überblick-alt'!A21,'h-index-alt'!$H$3:$H$463,"&lt;&gt;nv"),"")</f>
        <v/>
      </c>
      <c r="I21" s="84" t="str">
        <f>IFERROR(SUMIFS('h-index-alt'!$H$3:$H$463,'h-index-alt'!$A$3:$A$463,A21,'h-index-alt'!$E$3:$E$463,"&lt;&gt;nv")/COUNTIFS('h-index-alt'!$H$3:$H$463,"&lt;&gt;nv",'h-index-alt'!$H$3:$H$463,"&lt;&gt;",'h-index-alt'!$A$3:$A$463,'überblick-alt'!A21,'h-index-alt'!$E$3:$E$463,"&lt;&gt;nv"),"")</f>
        <v/>
      </c>
      <c r="J21" s="64">
        <f>COUNTIFS('h-index-alt'!A:A,'überblick-alt'!A21,'h-index-alt'!E:E,"nv")</f>
        <v>0</v>
      </c>
      <c r="K21" s="58">
        <f>COUNTIFS('h-index-alt'!A:A,'überblick-alt'!A21,'h-index-alt'!G:G,"nv")</f>
        <v>0</v>
      </c>
      <c r="L21" s="65">
        <f>COUNTIFS('h-index-alt'!A:A,'überblick-alt'!A21,'h-index-alt'!G:G,"nv",'h-index-alt'!E:E,"nv")</f>
        <v>0</v>
      </c>
    </row>
    <row r="22" spans="1:12" x14ac:dyDescent="0.3">
      <c r="A22" s="81" t="s">
        <v>285</v>
      </c>
      <c r="C22" s="58">
        <f>COUNTIFS('h-index-alt'!A:A,'überblick-alt'!A22)</f>
        <v>1</v>
      </c>
      <c r="D22" s="67" t="str">
        <f>IFERROR(SUMIFS('h-index-alt'!$E$3:$E$463,'h-index-alt'!$A$3:$A$463,A22)/COUNTIFS('h-index-alt'!$E$3:$E$463,"&lt;&gt;nv",'h-index-alt'!$E$3:$E$463,"&lt;&gt;",'h-index-alt'!$A$3:$A$463,'überblick-alt'!A22),"")</f>
        <v/>
      </c>
      <c r="E22" s="64">
        <f>SUMIFS('h-index-alt'!F$3:F$463,'h-index-alt'!$A$3:$A$463,'überblick-alt'!$A22)/COUNTIFS('h-index-alt'!$A$3:$A$463,'überblick-alt'!$A22)</f>
        <v>0</v>
      </c>
      <c r="F22" s="64">
        <f>SUMIFS('h-index-alt'!G$3:G$463,'h-index-alt'!$A$3:$A$463,'überblick-alt'!$A22)/COUNTIFS('h-index-alt'!$A$3:$A$463,'überblick-alt'!$A22)</f>
        <v>0</v>
      </c>
      <c r="G22" s="66" t="str">
        <f>IFERROR(SUMIFS('h-index-alt'!$H$3:$H$463,'h-index-alt'!$A$3:$A$463,A22)/COUNTIFS('h-index-alt'!$H$3:$H$463,"&lt;&gt;nv",'h-index-alt'!$H$3:$H$463,"&lt;&gt;",'h-index-alt'!$A$3:$A$463,'überblick-alt'!A22),"")</f>
        <v/>
      </c>
      <c r="H22" s="83" t="str">
        <f>IFERROR(SUMIFS('h-index-alt'!$E$3:$E$463,'h-index-alt'!$A$3:$A$463,A22,'h-index-alt'!$H$3:$H$463,"&lt;&gt;nv")/COUNTIFS('h-index-alt'!$E$3:$E$463,"&lt;&gt;nv",'h-index-alt'!$E$3:$E$463,"&lt;&gt;",'h-index-alt'!$A$3:$A$463,'überblick-alt'!A22,'h-index-alt'!$H$3:$H$463,"&lt;&gt;nv"),"")</f>
        <v/>
      </c>
      <c r="I22" s="84" t="str">
        <f>IFERROR(SUMIFS('h-index-alt'!$H$3:$H$463,'h-index-alt'!$A$3:$A$463,A22,'h-index-alt'!$E$3:$E$463,"&lt;&gt;nv")/COUNTIFS('h-index-alt'!$H$3:$H$463,"&lt;&gt;nv",'h-index-alt'!$H$3:$H$463,"&lt;&gt;",'h-index-alt'!$A$3:$A$463,'überblick-alt'!A22,'h-index-alt'!$E$3:$E$463,"&lt;&gt;nv"),"")</f>
        <v/>
      </c>
      <c r="J22" s="64">
        <f>COUNTIFS('h-index-alt'!A:A,'überblick-alt'!A22,'h-index-alt'!E:E,"nv")</f>
        <v>0</v>
      </c>
      <c r="K22" s="58">
        <f>COUNTIFS('h-index-alt'!A:A,'überblick-alt'!A22,'h-index-alt'!G:G,"nv")</f>
        <v>0</v>
      </c>
      <c r="L22" s="65">
        <f>COUNTIFS('h-index-alt'!A:A,'überblick-alt'!A22,'h-index-alt'!G:G,"nv",'h-index-alt'!E:E,"nv")</f>
        <v>0</v>
      </c>
    </row>
    <row r="23" spans="1:12" x14ac:dyDescent="0.3">
      <c r="A23" s="81" t="s">
        <v>287</v>
      </c>
      <c r="C23" s="58">
        <f>COUNTIFS('h-index-alt'!A:A,'überblick-alt'!A23)</f>
        <v>9</v>
      </c>
      <c r="D23" s="67">
        <f>IFERROR(SUMIFS('h-index-alt'!$E$3:$E$463,'h-index-alt'!$A$3:$A$463,A23)/COUNTIFS('h-index-alt'!$E$3:$E$463,"&lt;&gt;nv",'h-index-alt'!$E$3:$E$463,"&lt;&gt;",'h-index-alt'!$A$3:$A$463,'überblick-alt'!A23),"")</f>
        <v>77</v>
      </c>
      <c r="E23" s="64">
        <f>SUMIFS('h-index-alt'!F$3:F$463,'h-index-alt'!$A$3:$A$463,'überblick-alt'!$A23)/COUNTIFS('h-index-alt'!$A$3:$A$463,'überblick-alt'!$A23)</f>
        <v>16.666666666666668</v>
      </c>
      <c r="F23" s="64">
        <f>SUMIFS('h-index-alt'!G$3:G$463,'h-index-alt'!$A$3:$A$463,'überblick-alt'!$A23)/COUNTIFS('h-index-alt'!$A$3:$A$463,'überblick-alt'!$A23)</f>
        <v>18.888888888888889</v>
      </c>
      <c r="G23" s="66">
        <f>IFERROR(SUMIFS('h-index-alt'!$H$3:$H$463,'h-index-alt'!$A$3:$A$463,A23)/COUNTIFS('h-index-alt'!$H$3:$H$463,"&lt;&gt;nv",'h-index-alt'!$H$3:$H$463,"&lt;&gt;",'h-index-alt'!$A$3:$A$463,'überblick-alt'!A23),"")</f>
        <v>65</v>
      </c>
      <c r="H23" s="83">
        <f>IFERROR(SUMIFS('h-index-alt'!$E$3:$E$463,'h-index-alt'!$A$3:$A$463,A23,'h-index-alt'!$H$3:$H$463,"&lt;&gt;nv")/COUNTIFS('h-index-alt'!$E$3:$E$463,"&lt;&gt;nv",'h-index-alt'!$E$3:$E$463,"&lt;&gt;",'h-index-alt'!$A$3:$A$463,'überblick-alt'!A23,'h-index-alt'!$H$3:$H$463,"&lt;&gt;nv"),"")</f>
        <v>77</v>
      </c>
      <c r="I23" s="84">
        <f>IFERROR(SUMIFS('h-index-alt'!$H$3:$H$463,'h-index-alt'!$A$3:$A$463,A23,'h-index-alt'!$E$3:$E$463,"&lt;&gt;nv")/COUNTIFS('h-index-alt'!$H$3:$H$463,"&lt;&gt;nv",'h-index-alt'!$H$3:$H$463,"&lt;&gt;",'h-index-alt'!$A$3:$A$463,'überblick-alt'!A23,'h-index-alt'!$E$3:$E$463,"&lt;&gt;nv"),"")</f>
        <v>65</v>
      </c>
      <c r="J23" s="64">
        <f>COUNTIFS('h-index-alt'!A:A,'überblick-alt'!A23,'h-index-alt'!E:E,"nv")</f>
        <v>1</v>
      </c>
      <c r="K23" s="58">
        <f>COUNTIFS('h-index-alt'!A:A,'überblick-alt'!A23,'h-index-alt'!G:G,"nv")</f>
        <v>1</v>
      </c>
      <c r="L23" s="65">
        <f>COUNTIFS('h-index-alt'!A:A,'überblick-alt'!A23,'h-index-alt'!G:G,"nv",'h-index-alt'!E:E,"nv")</f>
        <v>1</v>
      </c>
    </row>
    <row r="24" spans="1:12" x14ac:dyDescent="0.3">
      <c r="A24" s="80" t="s">
        <v>15</v>
      </c>
      <c r="C24" s="58">
        <f>COUNTIFS('h-index-alt'!A:A,'überblick-alt'!A24)</f>
        <v>7</v>
      </c>
      <c r="D24" s="67">
        <f>IFERROR(SUMIFS('h-index-alt'!$E$3:$E$463,'h-index-alt'!$A$3:$A$463,A24)/COUNTIFS('h-index-alt'!$E$3:$E$463,"&lt;&gt;nv",'h-index-alt'!$E$3:$E$463,"&lt;&gt;",'h-index-alt'!$A$3:$A$463,'überblick-alt'!A24),"")</f>
        <v>23.333333333333332</v>
      </c>
      <c r="E24" s="64">
        <f>SUMIFS('h-index-alt'!F$3:F$463,'h-index-alt'!$A$3:$A$463,'überblick-alt'!$A24)/COUNTIFS('h-index-alt'!$A$3:$A$463,'überblick-alt'!$A24)</f>
        <v>9.7142857142857135</v>
      </c>
      <c r="F24" s="64">
        <f>SUMIFS('h-index-alt'!G$3:G$463,'h-index-alt'!$A$3:$A$463,'überblick-alt'!$A24)/COUNTIFS('h-index-alt'!$A$3:$A$463,'überblick-alt'!$A24)</f>
        <v>16.571428571428573</v>
      </c>
      <c r="G24" s="66">
        <f>IFERROR(SUMIFS('h-index-alt'!$H$3:$H$463,'h-index-alt'!$A$3:$A$463,A24)/COUNTIFS('h-index-alt'!$H$3:$H$463,"&lt;&gt;nv",'h-index-alt'!$H$3:$H$463,"&lt;&gt;",'h-index-alt'!$A$3:$A$463,'überblick-alt'!A24),"")</f>
        <v>24.333333333333332</v>
      </c>
      <c r="H24" s="83">
        <f>IFERROR(SUMIFS('h-index-alt'!$E$3:$E$463,'h-index-alt'!$A$3:$A$463,A24,'h-index-alt'!$H$3:$H$463,"&lt;&gt;nv")/COUNTIFS('h-index-alt'!$E$3:$E$463,"&lt;&gt;nv",'h-index-alt'!$E$3:$E$463,"&lt;&gt;",'h-index-alt'!$A$3:$A$463,'überblick-alt'!A24,'h-index-alt'!$H$3:$H$463,"&lt;&gt;nv"),"")</f>
        <v>28</v>
      </c>
      <c r="I24" s="84">
        <f>IFERROR(SUMIFS('h-index-alt'!$H$3:$H$463,'h-index-alt'!$A$3:$A$463,A24,'h-index-alt'!$E$3:$E$463,"&lt;&gt;nv")/COUNTIFS('h-index-alt'!$H$3:$H$463,"&lt;&gt;nv",'h-index-alt'!$H$3:$H$463,"&lt;&gt;",'h-index-alt'!$A$3:$A$463,'überblick-alt'!A24,'h-index-alt'!$E$3:$E$463,"&lt;&gt;nv"),"")</f>
        <v>22.5</v>
      </c>
      <c r="J24" s="64">
        <f>COUNTIFS('h-index-alt'!A:A,'überblick-alt'!A24,'h-index-alt'!E:E,"nv")</f>
        <v>4</v>
      </c>
      <c r="K24" s="58">
        <f>COUNTIFS('h-index-alt'!A:A,'überblick-alt'!A24,'h-index-alt'!G:G,"nv")</f>
        <v>4</v>
      </c>
      <c r="L24" s="65">
        <f>COUNTIFS('h-index-alt'!A:A,'überblick-alt'!A24,'h-index-alt'!G:G,"nv",'h-index-alt'!E:E,"nv")</f>
        <v>3</v>
      </c>
    </row>
    <row r="25" spans="1:12" x14ac:dyDescent="0.3">
      <c r="A25" s="81" t="s">
        <v>308</v>
      </c>
      <c r="C25" s="58">
        <f>COUNTIFS('h-index-alt'!A:A,'überblick-alt'!A25)</f>
        <v>1</v>
      </c>
      <c r="D25" s="67" t="str">
        <f>IFERROR(SUMIFS('h-index-alt'!$E$3:$E$463,'h-index-alt'!$A$3:$A$463,A25)/COUNTIFS('h-index-alt'!$E$3:$E$463,"&lt;&gt;nv",'h-index-alt'!$E$3:$E$463,"&lt;&gt;",'h-index-alt'!$A$3:$A$463,'überblick-alt'!A25),"")</f>
        <v/>
      </c>
      <c r="E25" s="64">
        <f>SUMIFS('h-index-alt'!F$3:F$463,'h-index-alt'!$A$3:$A$463,'überblick-alt'!$A25)/COUNTIFS('h-index-alt'!$A$3:$A$463,'überblick-alt'!$A25)</f>
        <v>0</v>
      </c>
      <c r="F25" s="64">
        <f>SUMIFS('h-index-alt'!G$3:G$463,'h-index-alt'!$A$3:$A$463,'überblick-alt'!$A25)/COUNTIFS('h-index-alt'!$A$3:$A$463,'überblick-alt'!$A25)</f>
        <v>0</v>
      </c>
      <c r="G25" s="66" t="str">
        <f>IFERROR(SUMIFS('h-index-alt'!$H$3:$H$463,'h-index-alt'!$A$3:$A$463,A25)/COUNTIFS('h-index-alt'!$H$3:$H$463,"&lt;&gt;nv",'h-index-alt'!$H$3:$H$463,"&lt;&gt;",'h-index-alt'!$A$3:$A$463,'überblick-alt'!A25),"")</f>
        <v/>
      </c>
      <c r="H25" s="83" t="str">
        <f>IFERROR(SUMIFS('h-index-alt'!$E$3:$E$463,'h-index-alt'!$A$3:$A$463,A25,'h-index-alt'!$H$3:$H$463,"&lt;&gt;nv")/COUNTIFS('h-index-alt'!$E$3:$E$463,"&lt;&gt;nv",'h-index-alt'!$E$3:$E$463,"&lt;&gt;",'h-index-alt'!$A$3:$A$463,'überblick-alt'!A25,'h-index-alt'!$H$3:$H$463,"&lt;&gt;nv"),"")</f>
        <v/>
      </c>
      <c r="I25" s="84" t="str">
        <f>IFERROR(SUMIFS('h-index-alt'!$H$3:$H$463,'h-index-alt'!$A$3:$A$463,A25,'h-index-alt'!$E$3:$E$463,"&lt;&gt;nv")/COUNTIFS('h-index-alt'!$H$3:$H$463,"&lt;&gt;nv",'h-index-alt'!$H$3:$H$463,"&lt;&gt;",'h-index-alt'!$A$3:$A$463,'überblick-alt'!A25,'h-index-alt'!$E$3:$E$463,"&lt;&gt;nv"),"")</f>
        <v/>
      </c>
      <c r="J25" s="64">
        <f>COUNTIFS('h-index-alt'!A:A,'überblick-alt'!A25,'h-index-alt'!E:E,"nv")</f>
        <v>0</v>
      </c>
      <c r="K25" s="58">
        <f>COUNTIFS('h-index-alt'!A:A,'überblick-alt'!A25,'h-index-alt'!G:G,"nv")</f>
        <v>0</v>
      </c>
      <c r="L25" s="65">
        <f>COUNTIFS('h-index-alt'!A:A,'überblick-alt'!A25,'h-index-alt'!G:G,"nv",'h-index-alt'!E:E,"nv")</f>
        <v>0</v>
      </c>
    </row>
    <row r="26" spans="1:12" x14ac:dyDescent="0.3">
      <c r="A26" s="80" t="s">
        <v>309</v>
      </c>
      <c r="C26" s="58">
        <f>COUNTIFS('h-index-alt'!A:A,'überblick-alt'!A26)</f>
        <v>38</v>
      </c>
      <c r="D26" s="67">
        <f>IFERROR(SUMIFS('h-index-alt'!$E$3:$E$463,'h-index-alt'!$A$3:$A$463,A26)/COUNTIFS('h-index-alt'!$E$3:$E$463,"&lt;&gt;nv",'h-index-alt'!$E$3:$E$463,"&lt;&gt;",'h-index-alt'!$A$3:$A$463,'überblick-alt'!A26),"")</f>
        <v>56.791666666666664</v>
      </c>
      <c r="E26" s="64">
        <f>SUMIFS('h-index-alt'!F$3:F$463,'h-index-alt'!$A$3:$A$463,'überblick-alt'!$A26)/COUNTIFS('h-index-alt'!$A$3:$A$463,'überblick-alt'!$A26)</f>
        <v>34.315789473684212</v>
      </c>
      <c r="F26" s="64">
        <f>SUMIFS('h-index-alt'!G$3:G$463,'h-index-alt'!$A$3:$A$463,'überblick-alt'!$A26)/COUNTIFS('h-index-alt'!$A$3:$A$463,'überblick-alt'!$A26)</f>
        <v>54.078947368421055</v>
      </c>
      <c r="G26" s="66">
        <f>IFERROR(SUMIFS('h-index-alt'!$H$3:$H$463,'h-index-alt'!$A$3:$A$463,A26)/COUNTIFS('h-index-alt'!$H$3:$H$463,"&lt;&gt;nv",'h-index-alt'!$H$3:$H$463,"&lt;&gt;",'h-index-alt'!$A$3:$A$463,'überblick-alt'!A26),"")</f>
        <v>47.28125</v>
      </c>
      <c r="H26" s="83">
        <f>IFERROR(SUMIFS('h-index-alt'!$E$3:$E$463,'h-index-alt'!$A$3:$A$463,A26,'h-index-alt'!$H$3:$H$463,"&lt;&gt;nv")/COUNTIFS('h-index-alt'!$E$3:$E$463,"&lt;&gt;nv",'h-index-alt'!$E$3:$E$463,"&lt;&gt;",'h-index-alt'!$A$3:$A$463,'überblick-alt'!A26,'h-index-alt'!$H$3:$H$463,"&lt;&gt;nv"),"")</f>
        <v>59.136363636363633</v>
      </c>
      <c r="I26" s="84">
        <f>IFERROR(SUMIFS('h-index-alt'!$H$3:$H$463,'h-index-alt'!$A$3:$A$463,A26,'h-index-alt'!$E$3:$E$463,"&lt;&gt;nv")/COUNTIFS('h-index-alt'!$H$3:$H$463,"&lt;&gt;nv",'h-index-alt'!$H$3:$H$463,"&lt;&gt;",'h-index-alt'!$A$3:$A$463,'überblick-alt'!A26,'h-index-alt'!$E$3:$E$463,"&lt;&gt;nv"),"")</f>
        <v>51.5</v>
      </c>
      <c r="J26" s="64">
        <f>COUNTIFS('h-index-alt'!A:A,'überblick-alt'!A26,'h-index-alt'!E:E,"nv")</f>
        <v>14</v>
      </c>
      <c r="K26" s="58">
        <f>COUNTIFS('h-index-alt'!A:A,'überblick-alt'!A26,'h-index-alt'!G:G,"nv")</f>
        <v>6</v>
      </c>
      <c r="L26" s="65">
        <f>COUNTIFS('h-index-alt'!A:A,'überblick-alt'!A26,'h-index-alt'!G:G,"nv",'h-index-alt'!E:E,"nv")</f>
        <v>4</v>
      </c>
    </row>
    <row r="27" spans="1:12" x14ac:dyDescent="0.3">
      <c r="A27" s="80" t="s">
        <v>358</v>
      </c>
      <c r="C27" s="58">
        <f>COUNTIFS('h-index-alt'!A:A,'überblick-alt'!A27)</f>
        <v>1</v>
      </c>
      <c r="D27" s="67" t="str">
        <f>IFERROR(SUMIFS('h-index-alt'!$E$3:$E$463,'h-index-alt'!$A$3:$A$463,A27)/COUNTIFS('h-index-alt'!$E$3:$E$463,"&lt;&gt;nv",'h-index-alt'!$E$3:$E$463,"&lt;&gt;",'h-index-alt'!$A$3:$A$463,'überblick-alt'!A27),"")</f>
        <v/>
      </c>
      <c r="E27" s="64">
        <f>SUMIFS('h-index-alt'!F$3:F$463,'h-index-alt'!$A$3:$A$463,'überblick-alt'!$A27)/COUNTIFS('h-index-alt'!$A$3:$A$463,'überblick-alt'!$A27)</f>
        <v>0</v>
      </c>
      <c r="F27" s="64">
        <f>SUMIFS('h-index-alt'!G$3:G$463,'h-index-alt'!$A$3:$A$463,'überblick-alt'!$A27)/COUNTIFS('h-index-alt'!$A$3:$A$463,'überblick-alt'!$A27)</f>
        <v>0</v>
      </c>
      <c r="G27" s="66" t="str">
        <f>IFERROR(SUMIFS('h-index-alt'!$H$3:$H$463,'h-index-alt'!$A$3:$A$463,A27)/COUNTIFS('h-index-alt'!$H$3:$H$463,"&lt;&gt;nv",'h-index-alt'!$H$3:$H$463,"&lt;&gt;",'h-index-alt'!$A$3:$A$463,'überblick-alt'!A27),"")</f>
        <v/>
      </c>
      <c r="H27" s="83" t="str">
        <f>IFERROR(SUMIFS('h-index-alt'!$E$3:$E$463,'h-index-alt'!$A$3:$A$463,A27,'h-index-alt'!$H$3:$H$463,"&lt;&gt;nv")/COUNTIFS('h-index-alt'!$E$3:$E$463,"&lt;&gt;nv",'h-index-alt'!$E$3:$E$463,"&lt;&gt;",'h-index-alt'!$A$3:$A$463,'überblick-alt'!A27,'h-index-alt'!$H$3:$H$463,"&lt;&gt;nv"),"")</f>
        <v/>
      </c>
      <c r="I27" s="84" t="str">
        <f>IFERROR(SUMIFS('h-index-alt'!$H$3:$H$463,'h-index-alt'!$A$3:$A$463,A27,'h-index-alt'!$E$3:$E$463,"&lt;&gt;nv")/COUNTIFS('h-index-alt'!$H$3:$H$463,"&lt;&gt;nv",'h-index-alt'!$H$3:$H$463,"&lt;&gt;",'h-index-alt'!$A$3:$A$463,'überblick-alt'!A27,'h-index-alt'!$E$3:$E$463,"&lt;&gt;nv"),"")</f>
        <v/>
      </c>
      <c r="J27" s="64">
        <f>COUNTIFS('h-index-alt'!A:A,'überblick-alt'!A27,'h-index-alt'!E:E,"nv")</f>
        <v>0</v>
      </c>
      <c r="K27" s="58">
        <f>COUNTIFS('h-index-alt'!A:A,'überblick-alt'!A27,'h-index-alt'!G:G,"nv")</f>
        <v>0</v>
      </c>
      <c r="L27" s="65">
        <f>COUNTIFS('h-index-alt'!A:A,'überblick-alt'!A27,'h-index-alt'!G:G,"nv",'h-index-alt'!E:E,"nv")</f>
        <v>0</v>
      </c>
    </row>
    <row r="28" spans="1:12" x14ac:dyDescent="0.3">
      <c r="A28" s="80" t="s">
        <v>360</v>
      </c>
      <c r="C28" s="58">
        <f>COUNTIFS('h-index-alt'!A:A,'überblick-alt'!A28)</f>
        <v>5</v>
      </c>
      <c r="D28" s="67">
        <f>IFERROR(SUMIFS('h-index-alt'!$E$3:$E$463,'h-index-alt'!$A$3:$A$463,A28)/COUNTIFS('h-index-alt'!$E$3:$E$463,"&lt;&gt;nv",'h-index-alt'!$E$3:$E$463,"&lt;&gt;",'h-index-alt'!$A$3:$A$463,'überblick-alt'!A28),"")</f>
        <v>25.75</v>
      </c>
      <c r="E28" s="64">
        <f>SUMIFS('h-index-alt'!F$3:F$463,'h-index-alt'!$A$3:$A$463,'überblick-alt'!$A28)/COUNTIFS('h-index-alt'!$A$3:$A$463,'überblick-alt'!$A28)</f>
        <v>19</v>
      </c>
      <c r="F28" s="64">
        <f>SUMIFS('h-index-alt'!G$3:G$463,'h-index-alt'!$A$3:$A$463,'überblick-alt'!$A28)/COUNTIFS('h-index-alt'!$A$3:$A$463,'überblick-alt'!$A28)</f>
        <v>17.8</v>
      </c>
      <c r="G28" s="66">
        <f>IFERROR(SUMIFS('h-index-alt'!$H$3:$H$463,'h-index-alt'!$A$3:$A$463,A28)/COUNTIFS('h-index-alt'!$H$3:$H$463,"&lt;&gt;nv",'h-index-alt'!$H$3:$H$463,"&lt;&gt;",'h-index-alt'!$A$3:$A$463,'überblick-alt'!A28),"")</f>
        <v>58</v>
      </c>
      <c r="H28" s="85">
        <f>IFERROR(SUMIFS('h-index-alt'!$E$3:$E$463,'h-index-alt'!$A$3:$A$463,A28,'h-index-alt'!$H$3:$H$463,"&lt;&gt;nv")/COUNTIFS('h-index-alt'!$E$3:$E$463,"&lt;&gt;nv",'h-index-alt'!$E$3:$E$463,"&lt;&gt;",'h-index-alt'!$A$3:$A$463,'überblick-alt'!A28,'h-index-alt'!$H$3:$H$463,"&lt;&gt;nv"),"")</f>
        <v>2</v>
      </c>
      <c r="I28" s="86">
        <f>IFERROR(SUMIFS('h-index-alt'!$H$3:$H$463,'h-index-alt'!$A$3:$A$463,A28,'h-index-alt'!$E$3:$E$463,"&lt;&gt;nv")/COUNTIFS('h-index-alt'!$H$3:$H$463,"&lt;&gt;nv",'h-index-alt'!$H$3:$H$463,"&lt;&gt;",'h-index-alt'!$A$3:$A$463,'überblick-alt'!A28,'h-index-alt'!$E$3:$E$463,"&lt;&gt;nv"),"")</f>
        <v>58</v>
      </c>
      <c r="J28" s="64">
        <f>COUNTIFS('h-index-alt'!A:A,'überblick-alt'!A28,'h-index-alt'!E:E,"nv")</f>
        <v>0</v>
      </c>
      <c r="K28" s="58">
        <f>COUNTIFS('h-index-alt'!A:A,'überblick-alt'!A28,'h-index-alt'!G:G,"nv")</f>
        <v>3</v>
      </c>
      <c r="L28" s="65">
        <f>COUNTIFS('h-index-alt'!A:A,'überblick-alt'!A28,'h-index-alt'!G:G,"nv",'h-index-alt'!E:E,"nv")</f>
        <v>0</v>
      </c>
    </row>
    <row r="29" spans="1:12" x14ac:dyDescent="0.3">
      <c r="A29" s="80" t="s">
        <v>372</v>
      </c>
      <c r="C29" s="58">
        <f>COUNTIFS('h-index-alt'!A:A,'überblick-alt'!A29)</f>
        <v>11</v>
      </c>
      <c r="D29" s="67">
        <f>IFERROR(SUMIFS('h-index-alt'!$E$3:$E$463,'h-index-alt'!$A$3:$A$463,A29)/COUNTIFS('h-index-alt'!$E$3:$E$463,"&lt;&gt;nv",'h-index-alt'!$E$3:$E$463,"&lt;&gt;",'h-index-alt'!$A$3:$A$463,'überblick-alt'!A29),"")</f>
        <v>39.166666666666664</v>
      </c>
      <c r="E29" s="64">
        <f>SUMIFS('h-index-alt'!F$3:F$463,'h-index-alt'!$A$3:$A$463,'überblick-alt'!$A29)/COUNTIFS('h-index-alt'!$A$3:$A$463,'überblick-alt'!$A29)</f>
        <v>20.181818181818183</v>
      </c>
      <c r="F29" s="64">
        <f>SUMIFS('h-index-alt'!G$3:G$463,'h-index-alt'!$A$3:$A$463,'überblick-alt'!$A29)/COUNTIFS('h-index-alt'!$A$3:$A$463,'überblick-alt'!$A29)</f>
        <v>33.18181818181818</v>
      </c>
      <c r="G29" s="66">
        <f>IFERROR(SUMIFS('h-index-alt'!$H$3:$H$463,'h-index-alt'!$A$3:$A$463,A29)/COUNTIFS('h-index-alt'!$H$3:$H$463,"&lt;&gt;nv",'h-index-alt'!$H$3:$H$463,"&lt;&gt;",'h-index-alt'!$A$3:$A$463,'überblick-alt'!A29),"")</f>
        <v>32.75</v>
      </c>
      <c r="H29" s="83">
        <f>IFERROR(SUMIFS('h-index-alt'!$E$3:$E$463,'h-index-alt'!$A$3:$A$463,A29,'h-index-alt'!$H$3:$H$463,"&lt;&gt;nv")/COUNTIFS('h-index-alt'!$E$3:$E$463,"&lt;&gt;nv",'h-index-alt'!$E$3:$E$463,"&lt;&gt;",'h-index-alt'!$A$3:$A$463,'überblick-alt'!A29,'h-index-alt'!$H$3:$H$463,"&lt;&gt;nv"),"")</f>
        <v>39.166666666666664</v>
      </c>
      <c r="I29" s="84">
        <f>IFERROR(SUMIFS('h-index-alt'!$H$3:$H$463,'h-index-alt'!$A$3:$A$463,A29,'h-index-alt'!$E$3:$E$463,"&lt;&gt;nv")/COUNTIFS('h-index-alt'!$H$3:$H$463,"&lt;&gt;nv",'h-index-alt'!$H$3:$H$463,"&lt;&gt;",'h-index-alt'!$A$3:$A$463,'überblick-alt'!A29,'h-index-alt'!$E$3:$E$463,"&lt;&gt;nv"),"")</f>
        <v>31.833333333333332</v>
      </c>
      <c r="J29" s="64">
        <f>COUNTIFS('h-index-alt'!A:A,'überblick-alt'!A29,'h-index-alt'!E:E,"nv")</f>
        <v>5</v>
      </c>
      <c r="K29" s="58">
        <f>COUNTIFS('h-index-alt'!A:A,'überblick-alt'!A29,'h-index-alt'!G:G,"nv")</f>
        <v>3</v>
      </c>
      <c r="L29" s="65">
        <f>COUNTIFS('h-index-alt'!A:A,'überblick-alt'!A29,'h-index-alt'!G:G,"nv",'h-index-alt'!E:E,"nv")</f>
        <v>3</v>
      </c>
    </row>
    <row r="30" spans="1:12" x14ac:dyDescent="0.3">
      <c r="A30" s="81" t="s">
        <v>387</v>
      </c>
      <c r="C30" s="58">
        <f>COUNTIFS('h-index-alt'!A:A,'überblick-alt'!A30)</f>
        <v>1</v>
      </c>
      <c r="D30" s="67" t="str">
        <f>IFERROR(SUMIFS('h-index-alt'!$E$3:$E$463,'h-index-alt'!$A$3:$A$463,A30)/COUNTIFS('h-index-alt'!$E$3:$E$463,"&lt;&gt;nv",'h-index-alt'!$E$3:$E$463,"&lt;&gt;",'h-index-alt'!$A$3:$A$463,'überblick-alt'!A30),"")</f>
        <v/>
      </c>
      <c r="E30" s="64">
        <f>SUMIFS('h-index-alt'!F$3:F$463,'h-index-alt'!$A$3:$A$463,'überblick-alt'!$A30)/COUNTIFS('h-index-alt'!$A$3:$A$463,'überblick-alt'!$A30)</f>
        <v>0</v>
      </c>
      <c r="F30" s="64">
        <f>SUMIFS('h-index-alt'!G$3:G$463,'h-index-alt'!$A$3:$A$463,'überblick-alt'!$A30)/COUNTIFS('h-index-alt'!$A$3:$A$463,'überblick-alt'!$A30)</f>
        <v>0</v>
      </c>
      <c r="G30" s="66" t="str">
        <f>IFERROR(SUMIFS('h-index-alt'!$H$3:$H$463,'h-index-alt'!$A$3:$A$463,A30)/COUNTIFS('h-index-alt'!$H$3:$H$463,"&lt;&gt;nv",'h-index-alt'!$H$3:$H$463,"&lt;&gt;",'h-index-alt'!$A$3:$A$463,'überblick-alt'!A30),"")</f>
        <v/>
      </c>
      <c r="H30" s="83" t="str">
        <f>IFERROR(SUMIFS('h-index-alt'!$E$3:$E$463,'h-index-alt'!$A$3:$A$463,A30,'h-index-alt'!$H$3:$H$463,"&lt;&gt;nv")/COUNTIFS('h-index-alt'!$E$3:$E$463,"&lt;&gt;nv",'h-index-alt'!$E$3:$E$463,"&lt;&gt;",'h-index-alt'!$A$3:$A$463,'überblick-alt'!A30,'h-index-alt'!$H$3:$H$463,"&lt;&gt;nv"),"")</f>
        <v/>
      </c>
      <c r="I30" s="84" t="str">
        <f>IFERROR(SUMIFS('h-index-alt'!$H$3:$H$463,'h-index-alt'!$A$3:$A$463,A30,'h-index-alt'!$E$3:$E$463,"&lt;&gt;nv")/COUNTIFS('h-index-alt'!$H$3:$H$463,"&lt;&gt;nv",'h-index-alt'!$H$3:$H$463,"&lt;&gt;",'h-index-alt'!$A$3:$A$463,'überblick-alt'!A30,'h-index-alt'!$E$3:$E$463,"&lt;&gt;nv"),"")</f>
        <v/>
      </c>
      <c r="J30" s="64">
        <f>COUNTIFS('h-index-alt'!A:A,'überblick-alt'!A30,'h-index-alt'!E:E,"nv")</f>
        <v>0</v>
      </c>
      <c r="K30" s="58">
        <f>COUNTIFS('h-index-alt'!A:A,'überblick-alt'!A30,'h-index-alt'!G:G,"nv")</f>
        <v>0</v>
      </c>
      <c r="L30" s="65">
        <f>COUNTIFS('h-index-alt'!A:A,'überblick-alt'!A30,'h-index-alt'!G:G,"nv",'h-index-alt'!E:E,"nv")</f>
        <v>0</v>
      </c>
    </row>
    <row r="31" spans="1:12" x14ac:dyDescent="0.3">
      <c r="A31" s="81" t="s">
        <v>388</v>
      </c>
      <c r="C31" s="58">
        <f>COUNTIFS('h-index-alt'!A:A,'überblick-alt'!A31)</f>
        <v>1</v>
      </c>
      <c r="D31" s="67" t="str">
        <f>IFERROR(SUMIFS('h-index-alt'!$E$3:$E$463,'h-index-alt'!$A$3:$A$463,A31)/COUNTIFS('h-index-alt'!$E$3:$E$463,"&lt;&gt;nv",'h-index-alt'!$E$3:$E$463,"&lt;&gt;",'h-index-alt'!$A$3:$A$463,'überblick-alt'!A31),"")</f>
        <v/>
      </c>
      <c r="E31" s="64">
        <f>SUMIFS('h-index-alt'!F$3:F$463,'h-index-alt'!$A$3:$A$463,'überblick-alt'!$A31)/COUNTIFS('h-index-alt'!$A$3:$A$463,'überblick-alt'!$A31)</f>
        <v>0</v>
      </c>
      <c r="F31" s="64">
        <f>SUMIFS('h-index-alt'!G$3:G$463,'h-index-alt'!$A$3:$A$463,'überblick-alt'!$A31)/COUNTIFS('h-index-alt'!$A$3:$A$463,'überblick-alt'!$A31)</f>
        <v>0</v>
      </c>
      <c r="G31" s="66" t="str">
        <f>IFERROR(SUMIFS('h-index-alt'!$H$3:$H$463,'h-index-alt'!$A$3:$A$463,A31)/COUNTIFS('h-index-alt'!$H$3:$H$463,"&lt;&gt;nv",'h-index-alt'!$H$3:$H$463,"&lt;&gt;",'h-index-alt'!$A$3:$A$463,'überblick-alt'!A31),"")</f>
        <v/>
      </c>
      <c r="H31" s="83" t="str">
        <f>IFERROR(SUMIFS('h-index-alt'!$E$3:$E$463,'h-index-alt'!$A$3:$A$463,A31,'h-index-alt'!$H$3:$H$463,"&lt;&gt;nv")/COUNTIFS('h-index-alt'!$E$3:$E$463,"&lt;&gt;nv",'h-index-alt'!$E$3:$E$463,"&lt;&gt;",'h-index-alt'!$A$3:$A$463,'überblick-alt'!A31,'h-index-alt'!$H$3:$H$463,"&lt;&gt;nv"),"")</f>
        <v/>
      </c>
      <c r="I31" s="84" t="str">
        <f>IFERROR(SUMIFS('h-index-alt'!$H$3:$H$463,'h-index-alt'!$A$3:$A$463,A31,'h-index-alt'!$E$3:$E$463,"&lt;&gt;nv")/COUNTIFS('h-index-alt'!$H$3:$H$463,"&lt;&gt;nv",'h-index-alt'!$H$3:$H$463,"&lt;&gt;",'h-index-alt'!$A$3:$A$463,'überblick-alt'!A31,'h-index-alt'!$E$3:$E$463,"&lt;&gt;nv"),"")</f>
        <v/>
      </c>
      <c r="J31" s="64">
        <f>COUNTIFS('h-index-alt'!A:A,'überblick-alt'!A31,'h-index-alt'!E:E,"nv")</f>
        <v>0</v>
      </c>
      <c r="K31" s="58">
        <f>COUNTIFS('h-index-alt'!A:A,'überblick-alt'!A31,'h-index-alt'!G:G,"nv")</f>
        <v>0</v>
      </c>
      <c r="L31" s="65">
        <f>COUNTIFS('h-index-alt'!A:A,'überblick-alt'!A31,'h-index-alt'!G:G,"nv",'h-index-alt'!E:E,"nv")</f>
        <v>0</v>
      </c>
    </row>
    <row r="32" spans="1:12" x14ac:dyDescent="0.3">
      <c r="A32" s="80" t="s">
        <v>389</v>
      </c>
      <c r="C32" s="58">
        <f>COUNTIFS('h-index-alt'!A:A,'überblick-alt'!A32)</f>
        <v>3</v>
      </c>
      <c r="D32" s="67">
        <f>IFERROR(SUMIFS('h-index-alt'!$E$3:$E$463,'h-index-alt'!$A$3:$A$463,A32)/COUNTIFS('h-index-alt'!$E$3:$E$463,"&lt;&gt;nv",'h-index-alt'!$E$3:$E$463,"&lt;&gt;",'h-index-alt'!$A$3:$A$463,'überblick-alt'!A32),"")</f>
        <v>70</v>
      </c>
      <c r="E32" s="64">
        <f>SUMIFS('h-index-alt'!F$3:F$463,'h-index-alt'!$A$3:$A$463,'überblick-alt'!$A32)/COUNTIFS('h-index-alt'!$A$3:$A$463,'überblick-alt'!$A32)</f>
        <v>44.666666666666664</v>
      </c>
      <c r="F32" s="64">
        <f>SUMIFS('h-index-alt'!G$3:G$463,'h-index-alt'!$A$3:$A$463,'überblick-alt'!$A32)/COUNTIFS('h-index-alt'!$A$3:$A$463,'überblick-alt'!$A32)</f>
        <v>79.666666666666671</v>
      </c>
      <c r="G32" s="66">
        <f>IFERROR(SUMIFS('h-index-alt'!$H$3:$H$463,'h-index-alt'!$A$3:$A$463,A32)/COUNTIFS('h-index-alt'!$H$3:$H$463,"&lt;&gt;nv",'h-index-alt'!$H$3:$H$463,"&lt;&gt;",'h-index-alt'!$A$3:$A$463,'überblick-alt'!A32),"")</f>
        <v>61.333333333333336</v>
      </c>
      <c r="H32" s="83">
        <f>IFERROR(SUMIFS('h-index-alt'!$E$3:$E$463,'h-index-alt'!$A$3:$A$463,A32,'h-index-alt'!$H$3:$H$463,"&lt;&gt;nv")/COUNTIFS('h-index-alt'!$E$3:$E$463,"&lt;&gt;nv",'h-index-alt'!$E$3:$E$463,"&lt;&gt;",'h-index-alt'!$A$3:$A$463,'überblick-alt'!A32,'h-index-alt'!$H$3:$H$463,"&lt;&gt;nv"),"")</f>
        <v>70</v>
      </c>
      <c r="I32" s="84">
        <f>IFERROR(SUMIFS('h-index-alt'!$H$3:$H$463,'h-index-alt'!$A$3:$A$463,A32,'h-index-alt'!$E$3:$E$463,"&lt;&gt;nv")/COUNTIFS('h-index-alt'!$H$3:$H$463,"&lt;&gt;nv",'h-index-alt'!$H$3:$H$463,"&lt;&gt;",'h-index-alt'!$A$3:$A$463,'überblick-alt'!A32,'h-index-alt'!$E$3:$E$463,"&lt;&gt;nv"),"")</f>
        <v>68</v>
      </c>
      <c r="J32" s="64">
        <f>COUNTIFS('h-index-alt'!A:A,'überblick-alt'!A32,'h-index-alt'!E:E,"nv")</f>
        <v>1</v>
      </c>
      <c r="K32" s="58">
        <f>COUNTIFS('h-index-alt'!A:A,'überblick-alt'!A32,'h-index-alt'!G:G,"nv")</f>
        <v>0</v>
      </c>
      <c r="L32" s="65">
        <f>COUNTIFS('h-index-alt'!A:A,'überblick-alt'!A32,'h-index-alt'!G:G,"nv",'h-index-alt'!E:E,"nv")</f>
        <v>0</v>
      </c>
    </row>
    <row r="33" spans="1:12" x14ac:dyDescent="0.3">
      <c r="A33" s="80" t="s">
        <v>21</v>
      </c>
      <c r="C33" s="58">
        <f>COUNTIFS('h-index-alt'!A:A,'überblick-alt'!A33)</f>
        <v>27</v>
      </c>
      <c r="D33" s="67">
        <f>IFERROR(SUMIFS('h-index-alt'!$E$3:$E$463,'h-index-alt'!$A$3:$A$463,A33)/COUNTIFS('h-index-alt'!$E$3:$E$463,"&lt;&gt;nv",'h-index-alt'!$E$3:$E$463,"&lt;&gt;",'h-index-alt'!$A$3:$A$463,'überblick-alt'!A33),"")</f>
        <v>39.3125</v>
      </c>
      <c r="E33" s="64">
        <f>SUMIFS('h-index-alt'!F$3:F$463,'h-index-alt'!$A$3:$A$463,'überblick-alt'!$A33)/COUNTIFS('h-index-alt'!$A$3:$A$463,'überblick-alt'!$A33)</f>
        <v>22.481481481481481</v>
      </c>
      <c r="F33" s="64">
        <f>SUMIFS('h-index-alt'!G$3:G$463,'h-index-alt'!$A$3:$A$463,'überblick-alt'!$A33)/COUNTIFS('h-index-alt'!$A$3:$A$463,'überblick-alt'!$A33)</f>
        <v>29.407407407407408</v>
      </c>
      <c r="G33" s="66">
        <f>IFERROR(SUMIFS('h-index-alt'!$H$3:$H$463,'h-index-alt'!$A$3:$A$463,A33)/COUNTIFS('h-index-alt'!$H$3:$H$463,"&lt;&gt;nv",'h-index-alt'!$H$3:$H$463,"&lt;&gt;",'h-index-alt'!$A$3:$A$463,'überblick-alt'!A33),"")</f>
        <v>34.941176470588232</v>
      </c>
      <c r="H33" s="83">
        <f>IFERROR(SUMIFS('h-index-alt'!$E$3:$E$463,'h-index-alt'!$A$3:$A$463,A33,'h-index-alt'!$H$3:$H$463,"&lt;&gt;nv")/COUNTIFS('h-index-alt'!$E$3:$E$463,"&lt;&gt;nv",'h-index-alt'!$E$3:$E$463,"&lt;&gt;",'h-index-alt'!$A$3:$A$463,'überblick-alt'!A33,'h-index-alt'!$H$3:$H$463,"&lt;&gt;nv"),"")</f>
        <v>40.642857142857146</v>
      </c>
      <c r="I33" s="84">
        <f>IFERROR(SUMIFS('h-index-alt'!$H$3:$H$463,'h-index-alt'!$A$3:$A$463,A33,'h-index-alt'!$E$3:$E$463,"&lt;&gt;nv")/COUNTIFS('h-index-alt'!$H$3:$H$463,"&lt;&gt;nv",'h-index-alt'!$H$3:$H$463,"&lt;&gt;",'h-index-alt'!$A$3:$A$463,'überblick-alt'!A33,'h-index-alt'!$E$3:$E$463,"&lt;&gt;nv"),"")</f>
        <v>35.571428571428569</v>
      </c>
      <c r="J33" s="64">
        <f>COUNTIFS('h-index-alt'!A:A,'überblick-alt'!A33,'h-index-alt'!E:E,"nv")</f>
        <v>11</v>
      </c>
      <c r="K33" s="58">
        <f>COUNTIFS('h-index-alt'!A:A,'überblick-alt'!A33,'h-index-alt'!G:G,"nv")</f>
        <v>10</v>
      </c>
      <c r="L33" s="65">
        <f>COUNTIFS('h-index-alt'!A:A,'überblick-alt'!A33,'h-index-alt'!G:G,"nv",'h-index-alt'!E:E,"nv")</f>
        <v>8</v>
      </c>
    </row>
    <row r="34" spans="1:12" x14ac:dyDescent="0.3">
      <c r="A34" s="80" t="s">
        <v>420</v>
      </c>
      <c r="C34" s="58">
        <f>COUNTIFS('h-index-alt'!A:A,'überblick-alt'!A34)</f>
        <v>18</v>
      </c>
      <c r="D34" s="67">
        <f>IFERROR(SUMIFS('h-index-alt'!$E$3:$E$463,'h-index-alt'!$A$3:$A$463,A34)/COUNTIFS('h-index-alt'!$E$3:$E$463,"&lt;&gt;nv",'h-index-alt'!$E$3:$E$463,"&lt;&gt;",'h-index-alt'!$A$3:$A$463,'überblick-alt'!A34),"")</f>
        <v>31.53846153846154</v>
      </c>
      <c r="E34" s="64">
        <f>SUMIFS('h-index-alt'!F$3:F$463,'h-index-alt'!$A$3:$A$463,'überblick-alt'!$A34)/COUNTIFS('h-index-alt'!$A$3:$A$463,'überblick-alt'!$A34)</f>
        <v>21.5</v>
      </c>
      <c r="F34" s="64">
        <f>SUMIFS('h-index-alt'!G$3:G$463,'h-index-alt'!$A$3:$A$463,'überblick-alt'!$A34)/COUNTIFS('h-index-alt'!$A$3:$A$463,'überblick-alt'!$A34)</f>
        <v>35.333333333333336</v>
      </c>
      <c r="G34" s="66">
        <f>IFERROR(SUMIFS('h-index-alt'!$H$3:$H$463,'h-index-alt'!$A$3:$A$463,A34)/COUNTIFS('h-index-alt'!$H$3:$H$463,"&lt;&gt;nv",'h-index-alt'!$H$3:$H$463,"&lt;&gt;",'h-index-alt'!$A$3:$A$463,'überblick-alt'!A34),"")</f>
        <v>34.285714285714285</v>
      </c>
      <c r="H34" s="83">
        <f>IFERROR(SUMIFS('h-index-alt'!$E$3:$E$463,'h-index-alt'!$A$3:$A$463,A34,'h-index-alt'!$H$3:$H$463,"&lt;&gt;nv")/COUNTIFS('h-index-alt'!$E$3:$E$463,"&lt;&gt;nv",'h-index-alt'!$E$3:$E$463,"&lt;&gt;",'h-index-alt'!$A$3:$A$463,'überblick-alt'!A34,'h-index-alt'!$H$3:$H$463,"&lt;&gt;nv"),"")</f>
        <v>29.454545454545453</v>
      </c>
      <c r="I34" s="84">
        <f>IFERROR(SUMIFS('h-index-alt'!$H$3:$H$463,'h-index-alt'!$A$3:$A$463,A34,'h-index-alt'!$E$3:$E$463,"&lt;&gt;nv")/COUNTIFS('h-index-alt'!$H$3:$H$463,"&lt;&gt;nv",'h-index-alt'!$H$3:$H$463,"&lt;&gt;",'h-index-alt'!$A$3:$A$463,'überblick-alt'!A34,'h-index-alt'!$E$3:$E$463,"&lt;&gt;nv"),"")</f>
        <v>27.636363636363637</v>
      </c>
      <c r="J34" s="64">
        <f>COUNTIFS('h-index-alt'!A:A,'überblick-alt'!A34,'h-index-alt'!E:E,"nv")</f>
        <v>5</v>
      </c>
      <c r="K34" s="58">
        <f>COUNTIFS('h-index-alt'!A:A,'überblick-alt'!A34,'h-index-alt'!G:G,"nv")</f>
        <v>4</v>
      </c>
      <c r="L34" s="65">
        <f>COUNTIFS('h-index-alt'!A:A,'überblick-alt'!A34,'h-index-alt'!G:G,"nv",'h-index-alt'!E:E,"nv")</f>
        <v>2</v>
      </c>
    </row>
    <row r="35" spans="1:12" x14ac:dyDescent="0.3">
      <c r="A35" s="80" t="s">
        <v>450</v>
      </c>
      <c r="C35" s="58">
        <f>COUNTIFS('h-index-alt'!A:A,'überblick-alt'!A35)</f>
        <v>3</v>
      </c>
      <c r="D35" s="67">
        <f>IFERROR(SUMIFS('h-index-alt'!$E$3:$E$463,'h-index-alt'!$A$3:$A$463,A35)/COUNTIFS('h-index-alt'!$E$3:$E$463,"&lt;&gt;nv",'h-index-alt'!$E$3:$E$463,"&lt;&gt;",'h-index-alt'!$A$3:$A$463,'überblick-alt'!A35),"")</f>
        <v>28</v>
      </c>
      <c r="E35" s="64">
        <f>SUMIFS('h-index-alt'!F$3:F$463,'h-index-alt'!$A$3:$A$463,'überblick-alt'!$A35)/COUNTIFS('h-index-alt'!$A$3:$A$463,'überblick-alt'!$A35)</f>
        <v>8.6666666666666661</v>
      </c>
      <c r="F35" s="64">
        <f>SUMIFS('h-index-alt'!G$3:G$463,'h-index-alt'!$A$3:$A$463,'überblick-alt'!$A35)/COUNTIFS('h-index-alt'!$A$3:$A$463,'überblick-alt'!$A35)</f>
        <v>63.666666666666664</v>
      </c>
      <c r="G35" s="66">
        <f>IFERROR(SUMIFS('h-index-alt'!$H$3:$H$463,'h-index-alt'!$A$3:$A$463,A35)/COUNTIFS('h-index-alt'!$H$3:$H$463,"&lt;&gt;nv",'h-index-alt'!$H$3:$H$463,"&lt;&gt;",'h-index-alt'!$A$3:$A$463,'überblick-alt'!A35),"")</f>
        <v>42.333333333333336</v>
      </c>
      <c r="H35" s="83">
        <f>IFERROR(SUMIFS('h-index-alt'!$E$3:$E$463,'h-index-alt'!$A$3:$A$463,A35,'h-index-alt'!$H$3:$H$463,"&lt;&gt;nv")/COUNTIFS('h-index-alt'!$E$3:$E$463,"&lt;&gt;nv",'h-index-alt'!$E$3:$E$463,"&lt;&gt;",'h-index-alt'!$A$3:$A$463,'überblick-alt'!A35,'h-index-alt'!$H$3:$H$463,"&lt;&gt;nv"),"")</f>
        <v>28</v>
      </c>
      <c r="I35" s="84">
        <f>IFERROR(SUMIFS('h-index-alt'!$H$3:$H$463,'h-index-alt'!$A$3:$A$463,A35,'h-index-alt'!$E$3:$E$463,"&lt;&gt;nv")/COUNTIFS('h-index-alt'!$H$3:$H$463,"&lt;&gt;nv",'h-index-alt'!$H$3:$H$463,"&lt;&gt;",'h-index-alt'!$A$3:$A$463,'überblick-alt'!A35,'h-index-alt'!$E$3:$E$463,"&lt;&gt;nv"),"")</f>
        <v>24</v>
      </c>
      <c r="J35" s="64">
        <f>COUNTIFS('h-index-alt'!A:A,'überblick-alt'!A35,'h-index-alt'!E:E,"nv")</f>
        <v>2</v>
      </c>
      <c r="K35" s="58">
        <f>COUNTIFS('h-index-alt'!A:A,'überblick-alt'!A35,'h-index-alt'!G:G,"nv")</f>
        <v>0</v>
      </c>
      <c r="L35" s="65">
        <f>COUNTIFS('h-index-alt'!A:A,'überblick-alt'!A35,'h-index-alt'!G:G,"nv",'h-index-alt'!E:E,"nv")</f>
        <v>0</v>
      </c>
    </row>
    <row r="36" spans="1:12" x14ac:dyDescent="0.3">
      <c r="A36" s="80" t="s">
        <v>455</v>
      </c>
      <c r="C36" s="58">
        <f>COUNTIFS('h-index-alt'!A:A,'überblick-alt'!A36)</f>
        <v>7</v>
      </c>
      <c r="D36" s="67">
        <f>IFERROR(SUMIFS('h-index-alt'!$E$3:$E$463,'h-index-alt'!$A$3:$A$463,A36)/COUNTIFS('h-index-alt'!$E$3:$E$463,"&lt;&gt;nv",'h-index-alt'!$E$3:$E$463,"&lt;&gt;",'h-index-alt'!$A$3:$A$463,'überblick-alt'!A36),"")</f>
        <v>34.25</v>
      </c>
      <c r="E36" s="64">
        <f>SUMIFS('h-index-alt'!F$3:F$463,'h-index-alt'!$A$3:$A$463,'überblick-alt'!$A36)/COUNTIFS('h-index-alt'!$A$3:$A$463,'überblick-alt'!$A36)</f>
        <v>18</v>
      </c>
      <c r="F36" s="64">
        <f>SUMIFS('h-index-alt'!G$3:G$463,'h-index-alt'!$A$3:$A$463,'überblick-alt'!$A36)/COUNTIFS('h-index-alt'!$A$3:$A$463,'überblick-alt'!$A36)</f>
        <v>22</v>
      </c>
      <c r="G36" s="66">
        <f>IFERROR(SUMIFS('h-index-alt'!$H$3:$H$463,'h-index-alt'!$A$3:$A$463,A36)/COUNTIFS('h-index-alt'!$H$3:$H$463,"&lt;&gt;nv",'h-index-alt'!$H$3:$H$463,"&lt;&gt;",'h-index-alt'!$A$3:$A$463,'überblick-alt'!A36),"")</f>
        <v>33.333333333333336</v>
      </c>
      <c r="H36" s="83">
        <f>IFERROR(SUMIFS('h-index-alt'!$E$3:$E$463,'h-index-alt'!$A$3:$A$463,A36,'h-index-alt'!$H$3:$H$463,"&lt;&gt;nv")/COUNTIFS('h-index-alt'!$E$3:$E$463,"&lt;&gt;nv",'h-index-alt'!$E$3:$E$463,"&lt;&gt;",'h-index-alt'!$A$3:$A$463,'überblick-alt'!A36,'h-index-alt'!$H$3:$H$463,"&lt;&gt;nv"),"")</f>
        <v>45</v>
      </c>
      <c r="I36" s="84">
        <f>IFERROR(SUMIFS('h-index-alt'!$H$3:$H$463,'h-index-alt'!$A$3:$A$463,A36,'h-index-alt'!$E$3:$E$463,"&lt;&gt;nv")/COUNTIFS('h-index-alt'!$H$3:$H$463,"&lt;&gt;nv",'h-index-alt'!$H$3:$H$463,"&lt;&gt;",'h-index-alt'!$A$3:$A$463,'überblick-alt'!A36,'h-index-alt'!$E$3:$E$463,"&lt;&gt;nv"),"")</f>
        <v>33.333333333333336</v>
      </c>
      <c r="J36" s="64">
        <f>COUNTIFS('h-index-alt'!A:A,'überblick-alt'!A36,'h-index-alt'!E:E,"nv")</f>
        <v>3</v>
      </c>
      <c r="K36" s="58">
        <f>COUNTIFS('h-index-alt'!A:A,'überblick-alt'!A36,'h-index-alt'!G:G,"nv")</f>
        <v>4</v>
      </c>
      <c r="L36" s="65">
        <f>COUNTIFS('h-index-alt'!A:A,'überblick-alt'!A36,'h-index-alt'!G:G,"nv",'h-index-alt'!E:E,"nv")</f>
        <v>3</v>
      </c>
    </row>
    <row r="37" spans="1:12" x14ac:dyDescent="0.3">
      <c r="A37" s="80" t="s">
        <v>470</v>
      </c>
      <c r="C37" s="58">
        <f>COUNTIFS('h-index-alt'!A:A,'überblick-alt'!A37)</f>
        <v>5</v>
      </c>
      <c r="D37" s="67">
        <f>IFERROR(SUMIFS('h-index-alt'!$E$3:$E$463,'h-index-alt'!$A$3:$A$463,A37)/COUNTIFS('h-index-alt'!$E$3:$E$463,"&lt;&gt;nv",'h-index-alt'!$E$3:$E$463,"&lt;&gt;",'h-index-alt'!$A$3:$A$463,'überblick-alt'!A37),"")</f>
        <v>34.799999999999997</v>
      </c>
      <c r="E37" s="64">
        <f>SUMIFS('h-index-alt'!F$3:F$463,'h-index-alt'!$A$3:$A$463,'überblick-alt'!$A37)/COUNTIFS('h-index-alt'!$A$3:$A$463,'überblick-alt'!$A37)</f>
        <v>33</v>
      </c>
      <c r="F37" s="64">
        <f>SUMIFS('h-index-alt'!G$3:G$463,'h-index-alt'!$A$3:$A$463,'überblick-alt'!$A37)/COUNTIFS('h-index-alt'!$A$3:$A$463,'überblick-alt'!$A37)</f>
        <v>40.6</v>
      </c>
      <c r="G37" s="66">
        <f>IFERROR(SUMIFS('h-index-alt'!$H$3:$H$463,'h-index-alt'!$A$3:$A$463,A37)/COUNTIFS('h-index-alt'!$H$3:$H$463,"&lt;&gt;nv",'h-index-alt'!$H$3:$H$463,"&lt;&gt;",'h-index-alt'!$A$3:$A$463,'überblick-alt'!A37),"")</f>
        <v>29.2</v>
      </c>
      <c r="H37" s="83">
        <f>IFERROR(SUMIFS('h-index-alt'!$E$3:$E$463,'h-index-alt'!$A$3:$A$463,A37,'h-index-alt'!$H$3:$H$463,"&lt;&gt;nv")/COUNTIFS('h-index-alt'!$E$3:$E$463,"&lt;&gt;nv",'h-index-alt'!$E$3:$E$463,"&lt;&gt;",'h-index-alt'!$A$3:$A$463,'überblick-alt'!A37,'h-index-alt'!$H$3:$H$463,"&lt;&gt;nv"),"")</f>
        <v>34.799999999999997</v>
      </c>
      <c r="I37" s="84">
        <f>IFERROR(SUMIFS('h-index-alt'!$H$3:$H$463,'h-index-alt'!$A$3:$A$463,A37,'h-index-alt'!$E$3:$E$463,"&lt;&gt;nv")/COUNTIFS('h-index-alt'!$H$3:$H$463,"&lt;&gt;nv",'h-index-alt'!$H$3:$H$463,"&lt;&gt;",'h-index-alt'!$A$3:$A$463,'überblick-alt'!A37,'h-index-alt'!$E$3:$E$463,"&lt;&gt;nv"),"")</f>
        <v>29.2</v>
      </c>
      <c r="J37" s="64">
        <f>COUNTIFS('h-index-alt'!A:A,'überblick-alt'!A37,'h-index-alt'!E:E,"nv")</f>
        <v>0</v>
      </c>
      <c r="K37" s="58">
        <f>COUNTIFS('h-index-alt'!A:A,'überblick-alt'!A37,'h-index-alt'!G:G,"nv")</f>
        <v>0</v>
      </c>
      <c r="L37" s="65">
        <f>COUNTIFS('h-index-alt'!A:A,'überblick-alt'!A37,'h-index-alt'!G:G,"nv",'h-index-alt'!E:E,"nv")</f>
        <v>0</v>
      </c>
    </row>
    <row r="38" spans="1:12" x14ac:dyDescent="0.3">
      <c r="A38" s="80" t="s">
        <v>472</v>
      </c>
      <c r="C38" s="58">
        <f>COUNTIFS('h-index-alt'!A:A,'überblick-alt'!A38)</f>
        <v>13</v>
      </c>
      <c r="D38" s="67">
        <f>IFERROR(SUMIFS('h-index-alt'!$E$3:$E$463,'h-index-alt'!$A$3:$A$463,A38)/COUNTIFS('h-index-alt'!$E$3:$E$463,"&lt;&gt;nv",'h-index-alt'!$E$3:$E$463,"&lt;&gt;",'h-index-alt'!$A$3:$A$463,'überblick-alt'!A38),"")</f>
        <v>26.555555555555557</v>
      </c>
      <c r="E38" s="64">
        <f>SUMIFS('h-index-alt'!F$3:F$463,'h-index-alt'!$A$3:$A$463,'überblick-alt'!$A38)/COUNTIFS('h-index-alt'!$A$3:$A$463,'überblick-alt'!$A38)</f>
        <v>17.153846153846153</v>
      </c>
      <c r="F38" s="64">
        <f>SUMIFS('h-index-alt'!G$3:G$463,'h-index-alt'!$A$3:$A$463,'überblick-alt'!$A38)/COUNTIFS('h-index-alt'!$A$3:$A$463,'überblick-alt'!$A38)</f>
        <v>8.3076923076923084</v>
      </c>
      <c r="G38" s="66">
        <f>IFERROR(SUMIFS('h-index-alt'!$H$3:$H$463,'h-index-alt'!$A$3:$A$463,A38)/COUNTIFS('h-index-alt'!$H$3:$H$463,"&lt;&gt;nv",'h-index-alt'!$H$3:$H$463,"&lt;&gt;",'h-index-alt'!$A$3:$A$463,'überblick-alt'!A38),"")</f>
        <v>43.5</v>
      </c>
      <c r="H38" s="83">
        <f>IFERROR(SUMIFS('h-index-alt'!$E$3:$E$463,'h-index-alt'!$A$3:$A$463,A38,'h-index-alt'!$H$3:$H$463,"&lt;&gt;nv")/COUNTIFS('h-index-alt'!$E$3:$E$463,"&lt;&gt;nv",'h-index-alt'!$E$3:$E$463,"&lt;&gt;",'h-index-alt'!$A$3:$A$463,'überblick-alt'!A38,'h-index-alt'!$H$3:$H$463,"&lt;&gt;nv"),"")</f>
        <v>74</v>
      </c>
      <c r="I38" s="84">
        <f>IFERROR(SUMIFS('h-index-alt'!$H$3:$H$463,'h-index-alt'!$A$3:$A$463,A38,'h-index-alt'!$E$3:$E$463,"&lt;&gt;nv")/COUNTIFS('h-index-alt'!$H$3:$H$463,"&lt;&gt;nv",'h-index-alt'!$H$3:$H$463,"&lt;&gt;",'h-index-alt'!$A$3:$A$463,'überblick-alt'!A38,'h-index-alt'!$E$3:$E$463,"&lt;&gt;nv"),"")</f>
        <v>63</v>
      </c>
      <c r="J38" s="64">
        <f>COUNTIFS('h-index-alt'!A:A,'überblick-alt'!A38,'h-index-alt'!E:E,"nv")</f>
        <v>1</v>
      </c>
      <c r="K38" s="58">
        <f>COUNTIFS('h-index-alt'!A:A,'überblick-alt'!A38,'h-index-alt'!G:G,"nv")</f>
        <v>8</v>
      </c>
      <c r="L38" s="65">
        <f>COUNTIFS('h-index-alt'!A:A,'überblick-alt'!A38,'h-index-alt'!G:G,"nv",'h-index-alt'!E:E,"nv")</f>
        <v>0</v>
      </c>
    </row>
    <row r="39" spans="1:12" x14ac:dyDescent="0.3">
      <c r="A39" s="80" t="s">
        <v>493</v>
      </c>
      <c r="C39" s="58">
        <f>COUNTIFS('h-index-alt'!A:A,'überblick-alt'!A39)</f>
        <v>26</v>
      </c>
      <c r="D39" s="67">
        <f>IFERROR(SUMIFS('h-index-alt'!$E$3:$E$463,'h-index-alt'!$A$3:$A$463,A39)/COUNTIFS('h-index-alt'!$E$3:$E$463,"&lt;&gt;nv",'h-index-alt'!$E$3:$E$463,"&lt;&gt;",'h-index-alt'!$A$3:$A$463,'überblick-alt'!A39),"")</f>
        <v>43.19047619047619</v>
      </c>
      <c r="E39" s="64">
        <f>SUMIFS('h-index-alt'!F$3:F$463,'h-index-alt'!$A$3:$A$463,'überblick-alt'!$A39)/COUNTIFS('h-index-alt'!$A$3:$A$463,'überblick-alt'!$A39)</f>
        <v>33.53846153846154</v>
      </c>
      <c r="F39" s="64">
        <f>SUMIFS('h-index-alt'!G$3:G$463,'h-index-alt'!$A$3:$A$463,'überblick-alt'!$A39)/COUNTIFS('h-index-alt'!$A$3:$A$463,'überblick-alt'!$A39)</f>
        <v>41.57692307692308</v>
      </c>
      <c r="G39" s="66">
        <f>IFERROR(SUMIFS('h-index-alt'!$H$3:$H$463,'h-index-alt'!$A$3:$A$463,A39)/COUNTIFS('h-index-alt'!$H$3:$H$463,"&lt;&gt;nv",'h-index-alt'!$H$3:$H$463,"&lt;&gt;",'h-index-alt'!$A$3:$A$463,'überblick-alt'!A39),"")</f>
        <v>53.133333333333333</v>
      </c>
      <c r="H39" s="83">
        <f>IFERROR(SUMIFS('h-index-alt'!$E$3:$E$463,'h-index-alt'!$A$3:$A$463,A39,'h-index-alt'!$H$3:$H$463,"&lt;&gt;nv")/COUNTIFS('h-index-alt'!$E$3:$E$463,"&lt;&gt;nv",'h-index-alt'!$E$3:$E$463,"&lt;&gt;",'h-index-alt'!$A$3:$A$463,'überblick-alt'!A39,'h-index-alt'!$H$3:$H$463,"&lt;&gt;nv"),"")</f>
        <v>59</v>
      </c>
      <c r="I39" s="84">
        <f>IFERROR(SUMIFS('h-index-alt'!$H$3:$H$463,'h-index-alt'!$A$3:$A$463,A39,'h-index-alt'!$E$3:$E$463,"&lt;&gt;nv")/COUNTIFS('h-index-alt'!$H$3:$H$463,"&lt;&gt;nv",'h-index-alt'!$H$3:$H$463,"&lt;&gt;",'h-index-alt'!$A$3:$A$463,'überblick-alt'!A39,'h-index-alt'!$E$3:$E$463,"&lt;&gt;nv"),"")</f>
        <v>53.571428571428569</v>
      </c>
      <c r="J39" s="64">
        <f>COUNTIFS('h-index-alt'!A:A,'überblick-alt'!A39,'h-index-alt'!E:E,"nv")</f>
        <v>5</v>
      </c>
      <c r="K39" s="58">
        <f>COUNTIFS('h-index-alt'!A:A,'überblick-alt'!A39,'h-index-alt'!G:G,"nv")</f>
        <v>11</v>
      </c>
      <c r="L39" s="65">
        <f>COUNTIFS('h-index-alt'!A:A,'überblick-alt'!A39,'h-index-alt'!G:G,"nv",'h-index-alt'!E:E,"nv")</f>
        <v>4</v>
      </c>
    </row>
    <row r="40" spans="1:12" x14ac:dyDescent="0.3">
      <c r="A40" s="80" t="s">
        <v>523</v>
      </c>
      <c r="C40" s="58">
        <f>COUNTIFS('h-index-alt'!A:A,'überblick-alt'!A40)</f>
        <v>10</v>
      </c>
      <c r="D40" s="67">
        <f>IFERROR(SUMIFS('h-index-alt'!$E$3:$E$463,'h-index-alt'!$A$3:$A$463,A40)/COUNTIFS('h-index-alt'!$E$3:$E$463,"&lt;&gt;nv",'h-index-alt'!$E$3:$E$463,"&lt;&gt;",'h-index-alt'!$A$3:$A$463,'überblick-alt'!A40),"")</f>
        <v>29.666666666666668</v>
      </c>
      <c r="E40" s="64">
        <f>SUMIFS('h-index-alt'!F$3:F$463,'h-index-alt'!$A$3:$A$463,'überblick-alt'!$A40)/COUNTIFS('h-index-alt'!$A$3:$A$463,'überblick-alt'!$A40)</f>
        <v>17.3</v>
      </c>
      <c r="F40" s="64">
        <f>SUMIFS('h-index-alt'!G$3:G$463,'h-index-alt'!$A$3:$A$463,'überblick-alt'!$A40)/COUNTIFS('h-index-alt'!$A$3:$A$463,'überblick-alt'!$A40)</f>
        <v>14.5</v>
      </c>
      <c r="G40" s="66">
        <f>IFERROR(SUMIFS('h-index-alt'!$H$3:$H$463,'h-index-alt'!$A$3:$A$463,A40)/COUNTIFS('h-index-alt'!$H$3:$H$463,"&lt;&gt;nv",'h-index-alt'!$H$3:$H$463,"&lt;&gt;",'h-index-alt'!$A$3:$A$463,'überblick-alt'!A40),"")</f>
        <v>28</v>
      </c>
      <c r="H40" s="83">
        <f>IFERROR(SUMIFS('h-index-alt'!$E$3:$E$463,'h-index-alt'!$A$3:$A$463,A40,'h-index-alt'!$H$3:$H$463,"&lt;&gt;nv")/COUNTIFS('h-index-alt'!$E$3:$E$463,"&lt;&gt;nv",'h-index-alt'!$E$3:$E$463,"&lt;&gt;",'h-index-alt'!$A$3:$A$463,'überblick-alt'!A40,'h-index-alt'!$H$3:$H$463,"&lt;&gt;nv"),"")</f>
        <v>44.666666666666664</v>
      </c>
      <c r="I40" s="84">
        <f>IFERROR(SUMIFS('h-index-alt'!$H$3:$H$463,'h-index-alt'!$A$3:$A$463,A40,'h-index-alt'!$E$3:$E$463,"&lt;&gt;nv")/COUNTIFS('h-index-alt'!$H$3:$H$463,"&lt;&gt;nv",'h-index-alt'!$H$3:$H$463,"&lt;&gt;",'h-index-alt'!$A$3:$A$463,'überblick-alt'!A40,'h-index-alt'!$E$3:$E$463,"&lt;&gt;nv"),"")</f>
        <v>28</v>
      </c>
      <c r="J40" s="64">
        <f>COUNTIFS('h-index-alt'!A:A,'überblick-alt'!A40,'h-index-alt'!E:E,"nv")</f>
        <v>4</v>
      </c>
      <c r="K40" s="58">
        <f>COUNTIFS('h-index-alt'!A:A,'überblick-alt'!A40,'h-index-alt'!G:G,"nv")</f>
        <v>7</v>
      </c>
      <c r="L40" s="65">
        <f>COUNTIFS('h-index-alt'!A:A,'überblick-alt'!A40,'h-index-alt'!G:G,"nv",'h-index-alt'!E:E,"nv")</f>
        <v>4</v>
      </c>
    </row>
    <row r="41" spans="1:12" x14ac:dyDescent="0.3">
      <c r="A41" s="80" t="s">
        <v>17</v>
      </c>
      <c r="C41" s="58">
        <f>COUNTIFS('h-index-alt'!A:A,'überblick-alt'!A41)</f>
        <v>39</v>
      </c>
      <c r="D41" s="67">
        <f>IFERROR(SUMIFS('h-index-alt'!$E$3:$E$463,'h-index-alt'!$A$3:$A$463,A41)/COUNTIFS('h-index-alt'!$E$3:$E$463,"&lt;&gt;nv",'h-index-alt'!$E$3:$E$463,"&lt;&gt;",'h-index-alt'!$A$3:$A$463,'überblick-alt'!A41),"")</f>
        <v>39.32</v>
      </c>
      <c r="E41" s="64">
        <f>SUMIFS('h-index-alt'!F$3:F$463,'h-index-alt'!$A$3:$A$463,'überblick-alt'!$A41)/COUNTIFS('h-index-alt'!$A$3:$A$463,'überblick-alt'!$A41)</f>
        <v>23.846153846153847</v>
      </c>
      <c r="F41" s="64">
        <f>SUMIFS('h-index-alt'!G$3:G$463,'h-index-alt'!$A$3:$A$463,'überblick-alt'!$A41)/COUNTIFS('h-index-alt'!$A$3:$A$463,'überblick-alt'!$A41)</f>
        <v>38.794871794871796</v>
      </c>
      <c r="G41" s="66">
        <f>IFERROR(SUMIFS('h-index-alt'!$H$3:$H$463,'h-index-alt'!$A$3:$A$463,A41)/COUNTIFS('h-index-alt'!$H$3:$H$463,"&lt;&gt;nv",'h-index-alt'!$H$3:$H$463,"&lt;&gt;",'h-index-alt'!$A$3:$A$463,'überblick-alt'!A41),"")</f>
        <v>38.678571428571431</v>
      </c>
      <c r="H41" s="83">
        <f>IFERROR(SUMIFS('h-index-alt'!$E$3:$E$463,'h-index-alt'!$A$3:$A$463,A41,'h-index-alt'!$H$3:$H$463,"&lt;&gt;nv")/COUNTIFS('h-index-alt'!$E$3:$E$463,"&lt;&gt;nv",'h-index-alt'!$E$3:$E$463,"&lt;&gt;",'h-index-alt'!$A$3:$A$463,'überblick-alt'!A41,'h-index-alt'!$H$3:$H$463,"&lt;&gt;nv"),"")</f>
        <v>40.421052631578945</v>
      </c>
      <c r="I41" s="84">
        <f>IFERROR(SUMIFS('h-index-alt'!$H$3:$H$463,'h-index-alt'!$A$3:$A$463,A41,'h-index-alt'!$E$3:$E$463,"&lt;&gt;nv")/COUNTIFS('h-index-alt'!$H$3:$H$463,"&lt;&gt;nv",'h-index-alt'!$H$3:$H$463,"&lt;&gt;",'h-index-alt'!$A$3:$A$463,'überblick-alt'!A41,'h-index-alt'!$E$3:$E$463,"&lt;&gt;nv"),"")</f>
        <v>37.94736842105263</v>
      </c>
      <c r="J41" s="64">
        <f>COUNTIFS('h-index-alt'!A:A,'überblick-alt'!A41,'h-index-alt'!E:E,"nv")</f>
        <v>10</v>
      </c>
      <c r="K41" s="58">
        <f>COUNTIFS('h-index-alt'!A:A,'überblick-alt'!A41,'h-index-alt'!G:G,"nv")</f>
        <v>7</v>
      </c>
      <c r="L41" s="65">
        <f>COUNTIFS('h-index-alt'!A:A,'überblick-alt'!A41,'h-index-alt'!G:G,"nv",'h-index-alt'!E:E,"nv")</f>
        <v>1</v>
      </c>
    </row>
    <row r="42" spans="1:12" x14ac:dyDescent="0.3">
      <c r="A42" s="80" t="s">
        <v>584</v>
      </c>
      <c r="C42" s="58">
        <f>COUNTIFS('h-index-alt'!A:A,'überblick-alt'!A42)</f>
        <v>7</v>
      </c>
      <c r="D42" s="67">
        <f>IFERROR(SUMIFS('h-index-alt'!$E$3:$E$463,'h-index-alt'!$A$3:$A$463,A42)/COUNTIFS('h-index-alt'!$E$3:$E$463,"&lt;&gt;nv",'h-index-alt'!$E$3:$E$463,"&lt;&gt;",'h-index-alt'!$A$3:$A$463,'überblick-alt'!A42),"")</f>
        <v>41.666666666666664</v>
      </c>
      <c r="E42" s="64">
        <f>SUMIFS('h-index-alt'!F$3:F$463,'h-index-alt'!$A$3:$A$463,'überblick-alt'!$A42)/COUNTIFS('h-index-alt'!$A$3:$A$463,'überblick-alt'!$A42)</f>
        <v>17.285714285714285</v>
      </c>
      <c r="F42" s="64">
        <f>SUMIFS('h-index-alt'!G$3:G$463,'h-index-alt'!$A$3:$A$463,'überblick-alt'!$A42)/COUNTIFS('h-index-alt'!$A$3:$A$463,'überblick-alt'!$A42)</f>
        <v>41.571428571428569</v>
      </c>
      <c r="G42" s="66">
        <f>IFERROR(SUMIFS('h-index-alt'!$H$3:$H$463,'h-index-alt'!$A$3:$A$463,A42)/COUNTIFS('h-index-alt'!$H$3:$H$463,"&lt;&gt;nv",'h-index-alt'!$H$3:$H$463,"&lt;&gt;",'h-index-alt'!$A$3:$A$463,'überblick-alt'!A42),"")</f>
        <v>36.5</v>
      </c>
      <c r="H42" s="83">
        <f>IFERROR(SUMIFS('h-index-alt'!$E$3:$E$463,'h-index-alt'!$A$3:$A$463,A42,'h-index-alt'!$H$3:$H$463,"&lt;&gt;nv")/COUNTIFS('h-index-alt'!$E$3:$E$463,"&lt;&gt;nv",'h-index-alt'!$E$3:$E$463,"&lt;&gt;",'h-index-alt'!$A$3:$A$463,'überblick-alt'!A42,'h-index-alt'!$H$3:$H$463,"&lt;&gt;nv"),"")</f>
        <v>41.666666666666664</v>
      </c>
      <c r="I42" s="84">
        <f>IFERROR(SUMIFS('h-index-alt'!$H$3:$H$463,'h-index-alt'!$A$3:$A$463,A42,'h-index-alt'!$E$3:$E$463,"&lt;&gt;nv")/COUNTIFS('h-index-alt'!$H$3:$H$463,"&lt;&gt;nv",'h-index-alt'!$H$3:$H$463,"&lt;&gt;",'h-index-alt'!$A$3:$A$463,'überblick-alt'!A42,'h-index-alt'!$E$3:$E$463,"&lt;&gt;nv"),"")</f>
        <v>36</v>
      </c>
      <c r="J42" s="64">
        <f>COUNTIFS('h-index-alt'!A:A,'überblick-alt'!A42,'h-index-alt'!E:E,"nv")</f>
        <v>4</v>
      </c>
      <c r="K42" s="58">
        <f>COUNTIFS('h-index-alt'!A:A,'überblick-alt'!A42,'h-index-alt'!G:G,"nv")</f>
        <v>1</v>
      </c>
      <c r="L42" s="65">
        <f>COUNTIFS('h-index-alt'!A:A,'überblick-alt'!A42,'h-index-alt'!G:G,"nv",'h-index-alt'!E:E,"nv")</f>
        <v>1</v>
      </c>
    </row>
    <row r="43" spans="1:12" x14ac:dyDescent="0.3">
      <c r="A43" s="81" t="s">
        <v>597</v>
      </c>
      <c r="C43" s="58">
        <f>COUNTIFS('h-index-alt'!A:A,'überblick-alt'!A43)</f>
        <v>1</v>
      </c>
      <c r="D43" s="67" t="str">
        <f>IFERROR(SUMIFS('h-index-alt'!$E$3:$E$463,'h-index-alt'!$A$3:$A$463,A43)/COUNTIFS('h-index-alt'!$E$3:$E$463,"&lt;&gt;nv",'h-index-alt'!$E$3:$E$463,"&lt;&gt;",'h-index-alt'!$A$3:$A$463,'überblick-alt'!A43),"")</f>
        <v/>
      </c>
      <c r="E43" s="64">
        <f>SUMIFS('h-index-alt'!F$3:F$463,'h-index-alt'!$A$3:$A$463,'überblick-alt'!$A43)/COUNTIFS('h-index-alt'!$A$3:$A$463,'überblick-alt'!$A43)</f>
        <v>0</v>
      </c>
      <c r="F43" s="64">
        <f>SUMIFS('h-index-alt'!G$3:G$463,'h-index-alt'!$A$3:$A$463,'überblick-alt'!$A43)/COUNTIFS('h-index-alt'!$A$3:$A$463,'überblick-alt'!$A43)</f>
        <v>0</v>
      </c>
      <c r="G43" s="66" t="str">
        <f>IFERROR(SUMIFS('h-index-alt'!$H$3:$H$463,'h-index-alt'!$A$3:$A$463,A43)/COUNTIFS('h-index-alt'!$H$3:$H$463,"&lt;&gt;nv",'h-index-alt'!$H$3:$H$463,"&lt;&gt;",'h-index-alt'!$A$3:$A$463,'überblick-alt'!A43),"")</f>
        <v/>
      </c>
      <c r="H43" s="83" t="str">
        <f>IFERROR(SUMIFS('h-index-alt'!$E$3:$E$463,'h-index-alt'!$A$3:$A$463,A43,'h-index-alt'!$H$3:$H$463,"&lt;&gt;nv")/COUNTIFS('h-index-alt'!$E$3:$E$463,"&lt;&gt;nv",'h-index-alt'!$E$3:$E$463,"&lt;&gt;",'h-index-alt'!$A$3:$A$463,'überblick-alt'!A43,'h-index-alt'!$H$3:$H$463,"&lt;&gt;nv"),"")</f>
        <v/>
      </c>
      <c r="I43" s="84" t="str">
        <f>IFERROR(SUMIFS('h-index-alt'!$H$3:$H$463,'h-index-alt'!$A$3:$A$463,A43,'h-index-alt'!$E$3:$E$463,"&lt;&gt;nv")/COUNTIFS('h-index-alt'!$H$3:$H$463,"&lt;&gt;nv",'h-index-alt'!$H$3:$H$463,"&lt;&gt;",'h-index-alt'!$A$3:$A$463,'überblick-alt'!A43,'h-index-alt'!$E$3:$E$463,"&lt;&gt;nv"),"")</f>
        <v/>
      </c>
      <c r="J43" s="64">
        <f>COUNTIFS('h-index-alt'!A:A,'überblick-alt'!A43,'h-index-alt'!E:E,"nv")</f>
        <v>0</v>
      </c>
      <c r="K43" s="58">
        <f>COUNTIFS('h-index-alt'!A:A,'überblick-alt'!A43,'h-index-alt'!G:G,"nv")</f>
        <v>0</v>
      </c>
      <c r="L43" s="65">
        <f>COUNTIFS('h-index-alt'!A:A,'überblick-alt'!A43,'h-index-alt'!G:G,"nv",'h-index-alt'!E:E,"nv")</f>
        <v>0</v>
      </c>
    </row>
    <row r="44" spans="1:12" x14ac:dyDescent="0.3">
      <c r="A44" s="81" t="s">
        <v>598</v>
      </c>
      <c r="C44" s="58">
        <f>COUNTIFS('h-index-alt'!A:A,'überblick-alt'!A44)</f>
        <v>1</v>
      </c>
      <c r="D44" s="67" t="str">
        <f>IFERROR(SUMIFS('h-index-alt'!$E$3:$E$463,'h-index-alt'!$A$3:$A$463,A44)/COUNTIFS('h-index-alt'!$E$3:$E$463,"&lt;&gt;nv",'h-index-alt'!$E$3:$E$463,"&lt;&gt;",'h-index-alt'!$A$3:$A$463,'überblick-alt'!A44),"")</f>
        <v/>
      </c>
      <c r="E44" s="64">
        <f>SUMIFS('h-index-alt'!F$3:F$463,'h-index-alt'!$A$3:$A$463,'überblick-alt'!$A44)/COUNTIFS('h-index-alt'!$A$3:$A$463,'überblick-alt'!$A44)</f>
        <v>0</v>
      </c>
      <c r="F44" s="64">
        <f>SUMIFS('h-index-alt'!G$3:G$463,'h-index-alt'!$A$3:$A$463,'überblick-alt'!$A44)/COUNTIFS('h-index-alt'!$A$3:$A$463,'überblick-alt'!$A44)</f>
        <v>0</v>
      </c>
      <c r="G44" s="66" t="str">
        <f>IFERROR(SUMIFS('h-index-alt'!$H$3:$H$463,'h-index-alt'!$A$3:$A$463,A44)/COUNTIFS('h-index-alt'!$H$3:$H$463,"&lt;&gt;nv",'h-index-alt'!$H$3:$H$463,"&lt;&gt;",'h-index-alt'!$A$3:$A$463,'überblick-alt'!A44),"")</f>
        <v/>
      </c>
      <c r="H44" s="83" t="str">
        <f>IFERROR(SUMIFS('h-index-alt'!$E$3:$E$463,'h-index-alt'!$A$3:$A$463,A44,'h-index-alt'!$H$3:$H$463,"&lt;&gt;nv")/COUNTIFS('h-index-alt'!$E$3:$E$463,"&lt;&gt;nv",'h-index-alt'!$E$3:$E$463,"&lt;&gt;",'h-index-alt'!$A$3:$A$463,'überblick-alt'!A44,'h-index-alt'!$H$3:$H$463,"&lt;&gt;nv"),"")</f>
        <v/>
      </c>
      <c r="I44" s="84" t="str">
        <f>IFERROR(SUMIFS('h-index-alt'!$H$3:$H$463,'h-index-alt'!$A$3:$A$463,A44,'h-index-alt'!$E$3:$E$463,"&lt;&gt;nv")/COUNTIFS('h-index-alt'!$H$3:$H$463,"&lt;&gt;nv",'h-index-alt'!$H$3:$H$463,"&lt;&gt;",'h-index-alt'!$A$3:$A$463,'überblick-alt'!A44,'h-index-alt'!$E$3:$E$463,"&lt;&gt;nv"),"")</f>
        <v/>
      </c>
      <c r="J44" s="64">
        <f>COUNTIFS('h-index-alt'!A:A,'überblick-alt'!A44,'h-index-alt'!E:E,"nv")</f>
        <v>0</v>
      </c>
      <c r="K44" s="58">
        <f>COUNTIFS('h-index-alt'!A:A,'überblick-alt'!A44,'h-index-alt'!G:G,"nv")</f>
        <v>0</v>
      </c>
      <c r="L44" s="65">
        <f>COUNTIFS('h-index-alt'!A:A,'überblick-alt'!A44,'h-index-alt'!G:G,"nv",'h-index-alt'!E:E,"nv")</f>
        <v>0</v>
      </c>
    </row>
    <row r="45" spans="1:12" x14ac:dyDescent="0.3">
      <c r="A45" s="80" t="s">
        <v>599</v>
      </c>
      <c r="C45" s="58">
        <f>COUNTIFS('h-index-alt'!A:A,'überblick-alt'!A45)</f>
        <v>12</v>
      </c>
      <c r="D45" s="67">
        <f>IFERROR(SUMIFS('h-index-alt'!$E$3:$E$463,'h-index-alt'!$A$3:$A$463,A45)/COUNTIFS('h-index-alt'!$E$3:$E$463,"&lt;&gt;nv",'h-index-alt'!$E$3:$E$463,"&lt;&gt;",'h-index-alt'!$A$3:$A$463,'überblick-alt'!A45),"")</f>
        <v>19.666666666666668</v>
      </c>
      <c r="E45" s="64">
        <f>SUMIFS('h-index-alt'!F$3:F$463,'h-index-alt'!$A$3:$A$463,'überblick-alt'!$A45)/COUNTIFS('h-index-alt'!$A$3:$A$463,'überblick-alt'!$A45)</f>
        <v>9.4166666666666661</v>
      </c>
      <c r="F45" s="64">
        <f>SUMIFS('h-index-alt'!G$3:G$463,'h-index-alt'!$A$3:$A$463,'überblick-alt'!$A45)/COUNTIFS('h-index-alt'!$A$3:$A$463,'überblick-alt'!$A45)</f>
        <v>24.916666666666668</v>
      </c>
      <c r="G45" s="66">
        <f>IFERROR(SUMIFS('h-index-alt'!$H$3:$H$463,'h-index-alt'!$A$3:$A$463,A45)/COUNTIFS('h-index-alt'!$H$3:$H$463,"&lt;&gt;nv",'h-index-alt'!$H$3:$H$463,"&lt;&gt;",'h-index-alt'!$A$3:$A$463,'überblick-alt'!A45),"")</f>
        <v>27.444444444444443</v>
      </c>
      <c r="H45" s="83">
        <f>IFERROR(SUMIFS('h-index-alt'!$E$3:$E$463,'h-index-alt'!$A$3:$A$463,A45,'h-index-alt'!$H$3:$H$463,"&lt;&gt;nv")/COUNTIFS('h-index-alt'!$E$3:$E$463,"&lt;&gt;nv",'h-index-alt'!$E$3:$E$463,"&lt;&gt;",'h-index-alt'!$A$3:$A$463,'überblick-alt'!A45,'h-index-alt'!$H$3:$H$463,"&lt;&gt;nv"),"")</f>
        <v>21</v>
      </c>
      <c r="I45" s="84">
        <f>IFERROR(SUMIFS('h-index-alt'!$H$3:$H$463,'h-index-alt'!$A$3:$A$463,A45,'h-index-alt'!$E$3:$E$463,"&lt;&gt;nv")/COUNTIFS('h-index-alt'!$H$3:$H$463,"&lt;&gt;nv",'h-index-alt'!$H$3:$H$463,"&lt;&gt;",'h-index-alt'!$A$3:$A$463,'überblick-alt'!A45,'h-index-alt'!$E$3:$E$463,"&lt;&gt;nv"),"")</f>
        <v>24</v>
      </c>
      <c r="J45" s="64">
        <f>COUNTIFS('h-index-alt'!A:A,'überblick-alt'!A45,'h-index-alt'!E:E,"nv")</f>
        <v>6</v>
      </c>
      <c r="K45" s="58">
        <f>COUNTIFS('h-index-alt'!A:A,'überblick-alt'!A45,'h-index-alt'!G:G,"nv")</f>
        <v>3</v>
      </c>
      <c r="L45" s="65">
        <f>COUNTIFS('h-index-alt'!A:A,'überblick-alt'!A45,'h-index-alt'!G:G,"nv",'h-index-alt'!E:E,"nv")</f>
        <v>2</v>
      </c>
    </row>
    <row r="46" spans="1:12" x14ac:dyDescent="0.3">
      <c r="A46" s="80" t="s">
        <v>614</v>
      </c>
      <c r="C46" s="58">
        <f>COUNTIFS('h-index-alt'!A:A,'überblick-alt'!A46)</f>
        <v>4</v>
      </c>
      <c r="D46" s="67">
        <f>IFERROR(SUMIFS('h-index-alt'!$E$3:$E$463,'h-index-alt'!$A$3:$A$463,A46)/COUNTIFS('h-index-alt'!$E$3:$E$463,"&lt;&gt;nv",'h-index-alt'!$E$3:$E$463,"&lt;&gt;",'h-index-alt'!$A$3:$A$463,'überblick-alt'!A46),"")</f>
        <v>57.666666666666664</v>
      </c>
      <c r="E46" s="64">
        <f>SUMIFS('h-index-alt'!F$3:F$463,'h-index-alt'!$A$3:$A$463,'überblick-alt'!$A46)/COUNTIFS('h-index-alt'!$A$3:$A$463,'überblick-alt'!$A46)</f>
        <v>40.25</v>
      </c>
      <c r="F46" s="64">
        <f>SUMIFS('h-index-alt'!G$3:G$463,'h-index-alt'!$A$3:$A$463,'überblick-alt'!$A46)/COUNTIFS('h-index-alt'!$A$3:$A$463,'überblick-alt'!$A46)</f>
        <v>51</v>
      </c>
      <c r="G46" s="66">
        <f>IFERROR(SUMIFS('h-index-alt'!$H$3:$H$463,'h-index-alt'!$A$3:$A$463,A46)/COUNTIFS('h-index-alt'!$H$3:$H$463,"&lt;&gt;nv",'h-index-alt'!$H$3:$H$463,"&lt;&gt;",'h-index-alt'!$A$3:$A$463,'überblick-alt'!A46),"")</f>
        <v>44.666666666666664</v>
      </c>
      <c r="H46" s="83">
        <f>IFERROR(SUMIFS('h-index-alt'!$E$3:$E$463,'h-index-alt'!$A$3:$A$463,A46,'h-index-alt'!$H$3:$H$463,"&lt;&gt;nv")/COUNTIFS('h-index-alt'!$E$3:$E$463,"&lt;&gt;nv",'h-index-alt'!$E$3:$E$463,"&lt;&gt;",'h-index-alt'!$A$3:$A$463,'überblick-alt'!A46,'h-index-alt'!$H$3:$H$463,"&lt;&gt;nv"),"")</f>
        <v>57.666666666666664</v>
      </c>
      <c r="I46" s="84">
        <f>IFERROR(SUMIFS('h-index-alt'!$H$3:$H$463,'h-index-alt'!$A$3:$A$463,A46,'h-index-alt'!$E$3:$E$463,"&lt;&gt;nv")/COUNTIFS('h-index-alt'!$H$3:$H$463,"&lt;&gt;nv",'h-index-alt'!$H$3:$H$463,"&lt;&gt;",'h-index-alt'!$A$3:$A$463,'überblick-alt'!A46,'h-index-alt'!$E$3:$E$463,"&lt;&gt;nv"),"")</f>
        <v>44.666666666666664</v>
      </c>
      <c r="J46" s="64">
        <f>COUNTIFS('h-index-alt'!A:A,'überblick-alt'!A46,'h-index-alt'!E:E,"nv")</f>
        <v>1</v>
      </c>
      <c r="K46" s="58">
        <f>COUNTIFS('h-index-alt'!A:A,'überblick-alt'!A46,'h-index-alt'!G:G,"nv")</f>
        <v>1</v>
      </c>
      <c r="L46" s="65">
        <f>COUNTIFS('h-index-alt'!A:A,'überblick-alt'!A46,'h-index-alt'!G:G,"nv",'h-index-alt'!E:E,"nv")</f>
        <v>1</v>
      </c>
    </row>
    <row r="47" spans="1:12" x14ac:dyDescent="0.3">
      <c r="A47" s="80" t="s">
        <v>623</v>
      </c>
      <c r="C47" s="58">
        <f>COUNTIFS('h-index-alt'!A:A,'überblick-alt'!A47)</f>
        <v>26</v>
      </c>
      <c r="D47" s="67">
        <f>IFERROR(SUMIFS('h-index-alt'!$E$3:$E$463,'h-index-alt'!$A$3:$A$463,A47)/COUNTIFS('h-index-alt'!$E$3:$E$463,"&lt;&gt;nv",'h-index-alt'!$E$3:$E$463,"&lt;&gt;",'h-index-alt'!$A$3:$A$463,'überblick-alt'!A47),"")</f>
        <v>35.799999999999997</v>
      </c>
      <c r="E47" s="64">
        <f>SUMIFS('h-index-alt'!F$3:F$463,'h-index-alt'!$A$3:$A$463,'überblick-alt'!$A47)/COUNTIFS('h-index-alt'!$A$3:$A$463,'überblick-alt'!$A47)</f>
        <v>12.923076923076923</v>
      </c>
      <c r="F47" s="64">
        <f>SUMIFS('h-index-alt'!G$3:G$463,'h-index-alt'!$A$3:$A$463,'überblick-alt'!$A47)/COUNTIFS('h-index-alt'!$A$3:$A$463,'überblick-alt'!$A47)</f>
        <v>24.115384615384617</v>
      </c>
      <c r="G47" s="66">
        <f>IFERROR(SUMIFS('h-index-alt'!$H$3:$H$463,'h-index-alt'!$A$3:$A$463,A47)/COUNTIFS('h-index-alt'!$H$3:$H$463,"&lt;&gt;nv",'h-index-alt'!$H$3:$H$463,"&lt;&gt;",'h-index-alt'!$A$3:$A$463,'überblick-alt'!A47),"")</f>
        <v>37</v>
      </c>
      <c r="H47" s="83">
        <f>IFERROR(SUMIFS('h-index-alt'!$E$3:$E$463,'h-index-alt'!$A$3:$A$463,A47,'h-index-alt'!$H$3:$H$463,"&lt;&gt;nv")/COUNTIFS('h-index-alt'!$E$3:$E$463,"&lt;&gt;nv",'h-index-alt'!$E$3:$E$463,"&lt;&gt;",'h-index-alt'!$A$3:$A$463,'überblick-alt'!A47,'h-index-alt'!$H$3:$H$463,"&lt;&gt;nv"),"")</f>
        <v>38.333333333333336</v>
      </c>
      <c r="I47" s="84">
        <f>IFERROR(SUMIFS('h-index-alt'!$H$3:$H$463,'h-index-alt'!$A$3:$A$463,A47,'h-index-alt'!$E$3:$E$463,"&lt;&gt;nv")/COUNTIFS('h-index-alt'!$H$3:$H$463,"&lt;&gt;nv",'h-index-alt'!$H$3:$H$463,"&lt;&gt;",'h-index-alt'!$A$3:$A$463,'überblick-alt'!A47,'h-index-alt'!$E$3:$E$463,"&lt;&gt;nv"),"")</f>
        <v>31.111111111111111</v>
      </c>
      <c r="J47" s="64">
        <f>COUNTIFS('h-index-alt'!A:A,'überblick-alt'!A47,'h-index-alt'!E:E,"nv")</f>
        <v>6</v>
      </c>
      <c r="K47" s="58">
        <f>COUNTIFS('h-index-alt'!A:A,'überblick-alt'!A47,'h-index-alt'!G:G,"nv")</f>
        <v>4</v>
      </c>
      <c r="L47" s="65">
        <f>COUNTIFS('h-index-alt'!A:A,'überblick-alt'!A47,'h-index-alt'!G:G,"nv",'h-index-alt'!E:E,"nv")</f>
        <v>3</v>
      </c>
    </row>
    <row r="49" spans="1:12" x14ac:dyDescent="0.3">
      <c r="A49" s="82" t="s">
        <v>683</v>
      </c>
      <c r="B49" s="69"/>
      <c r="C49" s="68"/>
      <c r="D49" s="70">
        <f>SUMIF(D$3:D$47,"&gt;0")/COUNTIF(D$3:D$47,"&gt;0")</f>
        <v>35.049877672383225</v>
      </c>
      <c r="E49" s="71">
        <f t="shared" ref="E49:F49" si="0">SUMIF(E$3:E$47,"&gt;0")/COUNTIF(E$3:E$47,"&gt;0")</f>
        <v>19.902492690608138</v>
      </c>
      <c r="F49" s="71">
        <f t="shared" si="0"/>
        <v>29.793642178107373</v>
      </c>
      <c r="G49" s="72">
        <f>SUMIF(G$3:G$47,"&gt;0")/COUNTIF(G$3:G$47,"&gt;0")</f>
        <v>35.722042617144616</v>
      </c>
      <c r="H49" s="71">
        <f>SUMIF(H3:H47, "&lt;&gt;#DIV/0!")/COUNTIF(H3:H47,"&gt;0")</f>
        <v>39.415746845118662</v>
      </c>
      <c r="I49" s="71">
        <f>SUMIF(I3:I47, "&lt;&gt;#DIV/0!")/COUNTIF(I3:I47,"&gt;0")</f>
        <v>35.945532575328841</v>
      </c>
      <c r="J49" s="71">
        <f>SUM(J3:J47)</f>
        <v>129</v>
      </c>
      <c r="K49" s="71">
        <f>SUM(K3:K47)</f>
        <v>133</v>
      </c>
      <c r="L49" s="72">
        <f>SUM(L3:L47)</f>
        <v>63</v>
      </c>
    </row>
  </sheetData>
  <mergeCells count="4">
    <mergeCell ref="J1:L1"/>
    <mergeCell ref="D1:G1"/>
    <mergeCell ref="B1:C1"/>
    <mergeCell ref="H1:I1"/>
  </mergeCells>
  <conditionalFormatting sqref="D3:I47">
    <cfRule type="cellIs" dxfId="1" priority="1" operator="equal">
      <formula>#DIV/0!</formula>
    </cfRule>
  </conditionalFormatting>
  <conditionalFormatting sqref="E3:L47">
    <cfRule type="cellIs" dxfId="0" priority="2" operator="equal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9b7454-7c3b-4cb8-badc-67fb8d177e80" xsi:nil="true"/>
    <lcf76f155ced4ddcb4097134ff3c332f xmlns="2d56ee38-d66a-4f6f-ad7c-50c579a77587">
      <Terms xmlns="http://schemas.microsoft.com/office/infopath/2007/PartnerControls"/>
    </lcf76f155ced4ddcb4097134ff3c332f>
    <Nummer xmlns="2d56ee38-d66a-4f6f-ad7c-50c579a775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A4CFA8834CAA469A4000FDDA3EF606" ma:contentTypeVersion="19" ma:contentTypeDescription="Ein neues Dokument erstellen." ma:contentTypeScope="" ma:versionID="55d953b017f144f6d6b06026caa04c29">
  <xsd:schema xmlns:xsd="http://www.w3.org/2001/XMLSchema" xmlns:xs="http://www.w3.org/2001/XMLSchema" xmlns:p="http://schemas.microsoft.com/office/2006/metadata/properties" xmlns:ns2="2d56ee38-d66a-4f6f-ad7c-50c579a77587" xmlns:ns3="4b9b7454-7c3b-4cb8-badc-67fb8d177e80" targetNamespace="http://schemas.microsoft.com/office/2006/metadata/properties" ma:root="true" ma:fieldsID="96218a9872b1485fa89960eddc8106a3" ns2:_="" ns3:_="">
    <xsd:import namespace="2d56ee38-d66a-4f6f-ad7c-50c579a77587"/>
    <xsd:import namespace="4b9b7454-7c3b-4cb8-badc-67fb8d177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Numme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6ee38-d66a-4f6f-ad7c-50c579a775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dd54d435-877f-42bc-b825-c6d46dcb9b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ummer" ma:index="25" nillable="true" ma:displayName="Nummer" ma:description="Abfolge Posts F-M-M" ma:format="Dropdown" ma:internalName="Nummer" ma:percentage="FALSE">
      <xsd:simpleType>
        <xsd:restriction base="dms:Number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b7454-7c3b-4cb8-badc-67fb8d177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df59735-5708-4456-a527-20ba79ae2d9b}" ma:internalName="TaxCatchAll" ma:showField="CatchAllData" ma:web="4b9b7454-7c3b-4cb8-badc-67fb8d177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A6BA3F-60CF-4778-B9DE-D88875EF67DE}">
  <ds:schemaRefs>
    <ds:schemaRef ds:uri="http://schemas.microsoft.com/office/2006/documentManagement/types"/>
    <ds:schemaRef ds:uri="2d56ee38-d66a-4f6f-ad7c-50c579a77587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4b9b7454-7c3b-4cb8-badc-67fb8d177e80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FA84F6-58A4-4D93-BC4F-1ED39DDB2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6ee38-d66a-4f6f-ad7c-50c579a77587"/>
    <ds:schemaRef ds:uri="4b9b7454-7c3b-4cb8-badc-67fb8d177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51006A-2245-48FD-AE17-037E6BEE4B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Werte</vt:lpstr>
      <vt:lpstr>h-index-alt</vt:lpstr>
      <vt:lpstr>überblick-alt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Schärer</dc:creator>
  <cp:keywords/>
  <dc:description/>
  <cp:lastModifiedBy>Tobias Schlegel</cp:lastModifiedBy>
  <cp:revision/>
  <dcterms:created xsi:type="dcterms:W3CDTF">2019-06-03T10:35:44Z</dcterms:created>
  <dcterms:modified xsi:type="dcterms:W3CDTF">2026-08-12T15:21:13Z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0x010100B7A4CFA8834CAA469A4000FDDA3EF606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